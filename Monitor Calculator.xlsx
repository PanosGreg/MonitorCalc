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Coupacode\MonitorCalc\"/>
    </mc:Choice>
  </mc:AlternateContent>
  <xr:revisionPtr revIDLastSave="0" documentId="8_{2DD69ACB-830B-4625-9AC3-6F047A46F059}" xr6:coauthVersionLast="47" xr6:coauthVersionMax="47" xr10:uidLastSave="{00000000-0000-0000-0000-000000000000}"/>
  <bookViews>
    <workbookView xWindow="3255" yWindow="2340" windowWidth="25575" windowHeight="15180" xr2:uid="{1342987A-A210-422F-B4A8-2E6B301153BB}"/>
  </bookViews>
  <sheets>
    <sheet name="Calculator" sheetId="2" r:id="rId1"/>
    <sheet name="Observations" sheetId="5" r:id="rId2"/>
    <sheet name="Target PPI" sheetId="1" r:id="rId3"/>
    <sheet name="Static_Data" sheetId="6" r:id="rId4"/>
    <sheet name="Comparison" sheetId="7"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6" l="1"/>
  <c r="L10" i="6"/>
  <c r="L9" i="6"/>
  <c r="L8" i="6"/>
  <c r="L7" i="6"/>
  <c r="L6" i="6"/>
  <c r="L5" i="6"/>
  <c r="L4" i="6"/>
  <c r="B18" i="2"/>
  <c r="B19" i="2"/>
  <c r="B13" i="2"/>
  <c r="E13" i="2" s="1"/>
  <c r="E8" i="2"/>
  <c r="E9" i="2" s="1"/>
  <c r="B17" i="2" s="1"/>
  <c r="E7" i="2"/>
  <c r="E6" i="2"/>
  <c r="E4" i="2"/>
  <c r="E3" i="2"/>
  <c r="E5" i="2" s="1"/>
  <c r="C13" i="2" l="1"/>
  <c r="D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Panos</author>
    <author>Panos Grigoriadis</author>
  </authors>
  <commentList>
    <comment ref="D3" authorId="0" shapeId="0" xr:uid="{F1EDFAAA-88AD-44BC-A44F-C2A11F6AAAFD}">
      <text>
        <r>
          <rPr>
            <b/>
            <sz val="9"/>
            <color indexed="81"/>
            <rFont val="Tahoma"/>
            <family val="2"/>
          </rPr>
          <t>Panos:</t>
        </r>
        <r>
          <rPr>
            <sz val="9"/>
            <color indexed="81"/>
            <rFont val="Tahoma"/>
            <family val="2"/>
          </rPr>
          <t xml:space="preserve">
This is the Horizontal amount of Pixels after scaling</t>
        </r>
      </text>
    </comment>
    <comment ref="D4" authorId="0" shapeId="0" xr:uid="{8D162E01-7DE8-4E97-8514-39F8074A5689}">
      <text>
        <r>
          <rPr>
            <b/>
            <sz val="9"/>
            <color indexed="81"/>
            <rFont val="Tahoma"/>
            <family val="2"/>
          </rPr>
          <t>Panos:</t>
        </r>
        <r>
          <rPr>
            <sz val="9"/>
            <color indexed="81"/>
            <rFont val="Tahoma"/>
            <family val="2"/>
          </rPr>
          <t xml:space="preserve">
This is the Vertical amount of Pixels after scaling</t>
        </r>
      </text>
    </comment>
    <comment ref="D5" authorId="0" shapeId="0" xr:uid="{CD73DFA7-1E60-4FDB-870B-DC3A2C93BE81}">
      <text>
        <r>
          <rPr>
            <b/>
            <sz val="9"/>
            <color indexed="81"/>
            <rFont val="Tahoma"/>
            <family val="2"/>
          </rPr>
          <t>Panos:</t>
        </r>
        <r>
          <rPr>
            <sz val="9"/>
            <color indexed="81"/>
            <rFont val="Tahoma"/>
            <family val="2"/>
          </rPr>
          <t xml:space="preserve">
Mega Pixel count after scaling</t>
        </r>
      </text>
    </comment>
    <comment ref="D6" authorId="0" shapeId="0" xr:uid="{627CE1F4-147B-41D5-81FE-A7395B00D4A4}">
      <text>
        <r>
          <rPr>
            <b/>
            <sz val="9"/>
            <color indexed="81"/>
            <rFont val="Tahoma"/>
            <family val="2"/>
          </rPr>
          <t>Panos:</t>
        </r>
        <r>
          <rPr>
            <sz val="9"/>
            <color indexed="81"/>
            <rFont val="Tahoma"/>
            <family val="2"/>
          </rPr>
          <t xml:space="preserve">
Pixels Per Inch after scaling</t>
        </r>
      </text>
    </comment>
    <comment ref="D7" authorId="0" shapeId="0" xr:uid="{E21A3D40-729F-4029-9AD8-21A794E50D3C}">
      <text>
        <r>
          <rPr>
            <b/>
            <sz val="9"/>
            <color indexed="81"/>
            <rFont val="Tahoma"/>
            <family val="2"/>
          </rPr>
          <t>Panos:</t>
        </r>
        <r>
          <rPr>
            <sz val="9"/>
            <color indexed="81"/>
            <rFont val="Tahoma"/>
            <family val="2"/>
          </rPr>
          <t xml:space="preserve">
This is the Horizontal dimension of the monitor in centimeters, with or without curvature</t>
        </r>
      </text>
    </comment>
    <comment ref="D8" authorId="0" shapeId="0" xr:uid="{1507D44B-3424-4CE1-A1E4-5DB05632ADD7}">
      <text>
        <r>
          <rPr>
            <b/>
            <sz val="9"/>
            <color indexed="81"/>
            <rFont val="Tahoma"/>
            <family val="2"/>
          </rPr>
          <t>Panos:</t>
        </r>
        <r>
          <rPr>
            <sz val="9"/>
            <color indexed="81"/>
            <rFont val="Tahoma"/>
            <family val="2"/>
          </rPr>
          <t xml:space="preserve">
This is the Vertical dimension of the monitor in centimeters</t>
        </r>
      </text>
    </comment>
    <comment ref="A9" authorId="0" shapeId="0" xr:uid="{99C9222E-158F-4DD6-BC52-DF0637E2EF62}">
      <text>
        <r>
          <rPr>
            <b/>
            <sz val="9"/>
            <color indexed="81"/>
            <rFont val="Tahoma"/>
            <family val="2"/>
          </rPr>
          <t>Panos:</t>
        </r>
        <r>
          <rPr>
            <sz val="9"/>
            <color indexed="81"/>
            <rFont val="Tahoma"/>
            <family val="2"/>
          </rPr>
          <t xml:space="preserve">
this can be any radius number in millimeters OR it can be left either empty or set to 0, if it's a flat screen.
Example radian numbers:
800, 1200, 1500, 1800, etc
The smaller the number the more aggressive the curve (ex. 800). And thus the smaller the width compared to a flat version.</t>
        </r>
      </text>
    </comment>
    <comment ref="D9" authorId="1" shapeId="0" xr:uid="{6E0ECA23-9E82-479E-B8A8-B00F745350D2}">
      <text>
        <r>
          <rPr>
            <b/>
            <sz val="9"/>
            <color indexed="81"/>
            <rFont val="Tahoma"/>
            <family val="2"/>
          </rPr>
          <t>Panos Grigoriadis:</t>
        </r>
        <r>
          <rPr>
            <sz val="9"/>
            <color indexed="81"/>
            <rFont val="Tahoma"/>
            <family val="2"/>
          </rPr>
          <t xml:space="preserve">
This is the Pixel Pitch in millimetres</t>
        </r>
      </text>
    </comment>
    <comment ref="C12" authorId="1" shapeId="0" xr:uid="{6C807D2C-D1EB-4C38-8383-C684974E0AE5}">
      <text>
        <r>
          <rPr>
            <b/>
            <sz val="9"/>
            <color indexed="81"/>
            <rFont val="Tahoma"/>
            <family val="2"/>
          </rPr>
          <t>Panos Grigoriadis:</t>
        </r>
        <r>
          <rPr>
            <sz val="9"/>
            <color indexed="81"/>
            <rFont val="Tahoma"/>
            <family val="2"/>
          </rPr>
          <t xml:space="preserve">
Theoritical Bandwidth: 96gbps
Practical Bandwidth: 85gbps</t>
        </r>
      </text>
    </comment>
    <comment ref="D12" authorId="1" shapeId="0" xr:uid="{6C38E44C-B6EA-4F33-BE86-442454E8187D}">
      <text>
        <r>
          <rPr>
            <b/>
            <sz val="9"/>
            <color indexed="81"/>
            <rFont val="Tahoma"/>
            <family val="2"/>
          </rPr>
          <t>Panos Grigoriadis:</t>
        </r>
        <r>
          <rPr>
            <sz val="9"/>
            <color indexed="81"/>
            <rFont val="Tahoma"/>
            <family val="2"/>
          </rPr>
          <t xml:space="preserve">
Theoritical Bandwidth: 80gbps
Practical Bandwidth: 77gbps</t>
        </r>
      </text>
    </comment>
    <comment ref="E12" authorId="1" shapeId="0" xr:uid="{74F83FD6-DFD7-4C17-A332-C6F3DE5410E6}">
      <text>
        <r>
          <rPr>
            <b/>
            <sz val="9"/>
            <color indexed="81"/>
            <rFont val="Tahoma"/>
            <family val="2"/>
          </rPr>
          <t>Panos Grigoriadis:</t>
        </r>
        <r>
          <rPr>
            <sz val="9"/>
            <color indexed="81"/>
            <rFont val="Tahoma"/>
            <family val="2"/>
          </rPr>
          <t xml:space="preserve">
Theoritical Bandwidth: 120gbps
Practical Bandwidth: 106gbps
The practical b/w is an estimation, I could NOT find the actual number anywhere</t>
        </r>
      </text>
    </comment>
    <comment ref="A13" authorId="0" shapeId="0" xr:uid="{A7A1ACCD-83A2-49BF-A1F6-D05703CFEF6E}">
      <text>
        <r>
          <rPr>
            <b/>
            <sz val="9"/>
            <color indexed="81"/>
            <rFont val="Tahoma"/>
            <family val="2"/>
          </rPr>
          <t>Panos:</t>
        </r>
        <r>
          <rPr>
            <sz val="9"/>
            <color indexed="81"/>
            <rFont val="Tahoma"/>
            <family val="2"/>
          </rPr>
          <t xml:space="preserve">
in Gbps</t>
        </r>
      </text>
    </comment>
    <comment ref="A16" authorId="1" shapeId="0" xr:uid="{F765E554-06B8-416D-A7CB-5B0D1D483861}">
      <text>
        <r>
          <rPr>
            <b/>
            <sz val="9"/>
            <color indexed="81"/>
            <rFont val="Tahoma"/>
            <family val="2"/>
          </rPr>
          <t>Panos Grigoriadis:</t>
        </r>
        <r>
          <rPr>
            <sz val="9"/>
            <color indexed="81"/>
            <rFont val="Tahoma"/>
            <family val="2"/>
          </rPr>
          <t xml:space="preserve">
The distance from the screen in cm</t>
        </r>
      </text>
    </comment>
    <comment ref="A17" authorId="1" shapeId="0" xr:uid="{B8FFD8A7-E1BA-4B5E-AFCB-5741D2D1642E}">
      <text>
        <r>
          <rPr>
            <b/>
            <sz val="9"/>
            <color indexed="81"/>
            <rFont val="Tahoma"/>
            <family val="2"/>
          </rPr>
          <t>Panos Grigoriadis:</t>
        </r>
        <r>
          <rPr>
            <sz val="9"/>
            <color indexed="81"/>
            <rFont val="Tahoma"/>
            <family val="2"/>
          </rPr>
          <t xml:space="preserve">
Pixels Per Degree
This number depends on the distance from the screen.
Examples:
31.5" 4K at 90cm is 86.5 PPD
27" 4K at 85cm is 95.3 PPD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Panos</author>
  </authors>
  <commentList>
    <comment ref="K3" authorId="0" shapeId="0" xr:uid="{3A4A95BF-3747-480E-8F7E-D7730A802546}">
      <text>
        <r>
          <rPr>
            <b/>
            <sz val="9"/>
            <color indexed="81"/>
            <rFont val="Tahoma"/>
            <family val="2"/>
          </rPr>
          <t>Panos:</t>
        </r>
        <r>
          <rPr>
            <sz val="9"/>
            <color indexed="81"/>
            <rFont val="Tahoma"/>
            <family val="2"/>
          </rPr>
          <t xml:space="preserve">
The bandwidth as described in the interface specification</t>
        </r>
      </text>
    </comment>
    <comment ref="L3" authorId="0" shapeId="0" xr:uid="{65A45E95-D5C5-44BF-964C-1349E4DE60BF}">
      <text>
        <r>
          <rPr>
            <b/>
            <sz val="9"/>
            <color indexed="81"/>
            <rFont val="Tahoma"/>
            <family val="2"/>
          </rPr>
          <t>Panos:</t>
        </r>
        <r>
          <rPr>
            <sz val="9"/>
            <color indexed="81"/>
            <rFont val="Tahoma"/>
            <family val="2"/>
          </rPr>
          <t xml:space="preserve">
The actual real bandwidth you can achieve with the interface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Panos</author>
  </authors>
  <commentList>
    <comment ref="A7" authorId="0" shapeId="0" xr:uid="{944C7222-CEAF-48A2-AE52-DDB659D9B184}">
      <text>
        <r>
          <rPr>
            <b/>
            <sz val="9"/>
            <color indexed="81"/>
            <rFont val="Tahoma"/>
            <family val="2"/>
          </rPr>
          <t>Panos:</t>
        </r>
        <r>
          <rPr>
            <sz val="9"/>
            <color indexed="81"/>
            <rFont val="Tahoma"/>
            <family val="2"/>
          </rPr>
          <t xml:space="preserve">
The total gain of screen real estate in percentage compared to the base display.</t>
        </r>
      </text>
    </comment>
    <comment ref="G10" authorId="0" shapeId="0" xr:uid="{10B934AE-F31A-409E-806D-F5265CB8F5C4}">
      <text>
        <r>
          <rPr>
            <b/>
            <sz val="9"/>
            <color indexed="81"/>
            <rFont val="Tahoma"/>
            <family val="2"/>
          </rPr>
          <t>Panos:</t>
        </r>
        <r>
          <rPr>
            <sz val="9"/>
            <color indexed="81"/>
            <rFont val="Tahoma"/>
            <family val="2"/>
          </rPr>
          <t xml:space="preserve">
The height of this screen might be too tall at 60 cm.
As such you may either, not really use the extra screen space on the top part of the screen (as you will subconsciously avoid placing any windows on that part).
Or you may have neck issues because you'll need to look up to see the elements at the top of the screen.</t>
        </r>
      </text>
    </comment>
    <comment ref="E12" authorId="0" shapeId="0" xr:uid="{8516E938-414A-4702-89BE-6E1E99A45DEE}">
      <text>
        <r>
          <rPr>
            <b/>
            <sz val="9"/>
            <color indexed="81"/>
            <rFont val="Tahoma"/>
            <family val="2"/>
          </rPr>
          <t>Panos:</t>
        </r>
        <r>
          <rPr>
            <sz val="9"/>
            <color indexed="81"/>
            <rFont val="Tahoma"/>
            <family val="2"/>
          </rPr>
          <t xml:space="preserve">
This is too small of a scaling factor.
It almost defeats the purpose of scaling.
The main reason this is not good is because you have to bear with the various scaling hassles on Windows but the benefit is minimal (at 125% only).
Usually you'll want at least 150% scaling to make it worth.
Because at 125% it won't make much difference in screen clarity from 100%. Or in other words the clarity improvement will be unnoticeable.
</t>
        </r>
      </text>
    </comment>
    <comment ref="G14" authorId="0" shapeId="0" xr:uid="{3B4AD1BC-6C06-41E2-B200-80ED4A91525F}">
      <text>
        <r>
          <rPr>
            <b/>
            <sz val="9"/>
            <color indexed="81"/>
            <rFont val="Tahoma"/>
            <family val="2"/>
          </rPr>
          <t>Panos:</t>
        </r>
        <r>
          <rPr>
            <sz val="9"/>
            <color indexed="81"/>
            <rFont val="Tahoma"/>
            <family val="2"/>
          </rPr>
          <t xml:space="preserve">
This might be too wide for some people, but not necessarily
A typical 2-screen setup, with two 32" displays in an angled position between them, will result is approx. ~130cm in width.
So having a single screen of ~120cm should be OK.</t>
        </r>
      </text>
    </comment>
  </commentList>
</comments>
</file>

<file path=xl/sharedStrings.xml><?xml version="1.0" encoding="utf-8"?>
<sst xmlns="http://schemas.openxmlformats.org/spreadsheetml/2006/main" count="264" uniqueCount="167">
  <si>
    <t>Size</t>
  </si>
  <si>
    <t>Scale</t>
  </si>
  <si>
    <t>Resolution</t>
  </si>
  <si>
    <t>2560x1440</t>
  </si>
  <si>
    <t>3840x2160</t>
  </si>
  <si>
    <t>6144x3456</t>
  </si>
  <si>
    <t>Res</t>
  </si>
  <si>
    <t>QHD</t>
  </si>
  <si>
    <t>4K</t>
  </si>
  <si>
    <t>6K</t>
  </si>
  <si>
    <t>5120x2880</t>
  </si>
  <si>
    <t>5K</t>
  </si>
  <si>
    <t>7680x4320</t>
  </si>
  <si>
    <t>8K</t>
  </si>
  <si>
    <t>PPI</t>
  </si>
  <si>
    <t>Target PPI:  92 - 93</t>
  </si>
  <si>
    <t>Target PPI:  ~110</t>
  </si>
  <si>
    <t>Target Vertical Res</t>
  </si>
  <si>
    <t>Native Resolution</t>
  </si>
  <si>
    <t>Result PPI</t>
  </si>
  <si>
    <t>Vert Res</t>
  </si>
  <si>
    <t>Id</t>
  </si>
  <si>
    <t>Observations</t>
  </si>
  <si>
    <t>A 45" Ultrawide (21:9) has the same width as a 48" Wide (16:9)</t>
  </si>
  <si>
    <t>A 28" 3:2 has the same height as a 32" Wide (16:9)</t>
  </si>
  <si>
    <t>A 37" 4K screen (16:9) can accommodate both use-cases of 95PPI with 125% scale and 119PPI with 100% scaling</t>
  </si>
  <si>
    <t>A 42.5" 5K screen has the same native PPI (138PPI) as a 32" 4K screen</t>
  </si>
  <si>
    <t>A 32" 6K screen (6144x3456) at 200% scaling has the same scaled PPI (110PPI) as a 27" 1440P at 100%, but with much better clarity and more real estate</t>
  </si>
  <si>
    <t>A 40" 8K screen (7680x4320) at 200% scaling has the same scaled PPI (110PPI) as a 27" 1440P at 100%, but with much better clarity and more real estate</t>
  </si>
  <si>
    <t>A 48" 8K screen at 200% scaling has the same scaled PPI (92 PPI) as a 24" FHD, but with much better clarity and 4 times the real estate</t>
  </si>
  <si>
    <t>The ultrawide version (21:9) of a 40" would be 50", both of them have the same height of 50cm</t>
  </si>
  <si>
    <t>The ultrawide version (21:9) of a 43" would be 53", both of them have the same height of 53cm</t>
  </si>
  <si>
    <t>The Ultrawide version of the 5K resolution could be 6880x2880, both (5K &amp; UW5K) have the same vertical resolution</t>
  </si>
  <si>
    <t>The Ultrawide version of the 6K resolution could be 8192x3456, both (6K &amp; UW6K) have the same vertical resolution</t>
  </si>
  <si>
    <t>The Ultrawide version of the 8K resolution could be 10240x4320, both (8K &amp; UW8K) have the same vertical resolution</t>
  </si>
  <si>
    <t>Monitors that used 2 cables to accommodate for the bandwidth: IBM 4K 22" 2005, Dell 5K 27" 2015, Apple 6K 32" 2019</t>
  </si>
  <si>
    <t>Target PPI Categories</t>
  </si>
  <si>
    <t>I found that people most of the times will either go for a target PPI of 92-93 or a target PPI of ~110.</t>
  </si>
  <si>
    <t>The result of the different PPIs, is how small the text show up on the screen and how comfortable someone is with that text size.</t>
  </si>
  <si>
    <t>The target PPI of 92-93 means a 32" at QHD (1440p) or a 32" at 4K with 150% scaling or a 32" at 5K with 200" scale.</t>
  </si>
  <si>
    <t>The target PPI of 110 means a 27" at QHD (1440p) or a 32" at 4K with 125% scaling or a 27" at 5K with 200% scale or a 32" at 6K with 200% scale</t>
  </si>
  <si>
    <t>Gbps</t>
  </si>
  <si>
    <t>Real BW</t>
  </si>
  <si>
    <t>Encoding</t>
  </si>
  <si>
    <t>DP2.1 HBR20</t>
  </si>
  <si>
    <t>128/132</t>
  </si>
  <si>
    <t>DP2.1 HBR13.5</t>
  </si>
  <si>
    <t>HDMI 2.1</t>
  </si>
  <si>
    <t>16/18</t>
  </si>
  <si>
    <t>HDMI 2.2</t>
  </si>
  <si>
    <t>ThunderBolt 4</t>
  </si>
  <si>
    <t>ThunderBolt 5</t>
  </si>
  <si>
    <t>???</t>
  </si>
  <si>
    <t>GPMI Type-C</t>
  </si>
  <si>
    <t>GPMI Type-B</t>
  </si>
  <si>
    <t xml:space="preserve">DP1.4 </t>
  </si>
  <si>
    <t>8/10</t>
  </si>
  <si>
    <t>DP2.1 HBR10</t>
  </si>
  <si>
    <t>this is an estimate for the real bandwidth</t>
  </si>
  <si>
    <t>Display Port</t>
  </si>
  <si>
    <t>Scaling Factor</t>
  </si>
  <si>
    <t>Input</t>
  </si>
  <si>
    <t>Output</t>
  </si>
  <si>
    <t>Size (inch)</t>
  </si>
  <si>
    <t>Pixels X</t>
  </si>
  <si>
    <t>Horiz Pixels</t>
  </si>
  <si>
    <t>Pixels Y</t>
  </si>
  <si>
    <t>Vert Pixels</t>
  </si>
  <si>
    <t>MP</t>
  </si>
  <si>
    <t>Scaling</t>
  </si>
  <si>
    <t>Horiz Ratio</t>
  </si>
  <si>
    <t>Width</t>
  </si>
  <si>
    <t>Vert Ratio</t>
  </si>
  <si>
    <t>Height</t>
  </si>
  <si>
    <t>Curve</t>
  </si>
  <si>
    <t>Pixel Pitch</t>
  </si>
  <si>
    <t>Color (bit)</t>
  </si>
  <si>
    <t>Refresh (Hz)</t>
  </si>
  <si>
    <t>HDMI2.2</t>
  </si>
  <si>
    <t>DP2.1</t>
  </si>
  <si>
    <t>TB5</t>
  </si>
  <si>
    <t>Bandwidth</t>
  </si>
  <si>
    <t>&lt;&lt; can it fit on the interface ?</t>
  </si>
  <si>
    <t>Timing Source</t>
  </si>
  <si>
    <t>Note: Uncompressed, CVT-R2 timing format</t>
  </si>
  <si>
    <t>Interface Source</t>
  </si>
  <si>
    <t>Distance</t>
  </si>
  <si>
    <t>PPD</t>
  </si>
  <si>
    <t>Vert FoV</t>
  </si>
  <si>
    <t>Horiz FoV</t>
  </si>
  <si>
    <t>= Input</t>
  </si>
  <si>
    <t>= Output</t>
  </si>
  <si>
    <t>UW4K</t>
  </si>
  <si>
    <t>5120x2160</t>
  </si>
  <si>
    <t>UW5K</t>
  </si>
  <si>
    <t>6880x2880</t>
  </si>
  <si>
    <t>8192x3456</t>
  </si>
  <si>
    <t>UW8K</t>
  </si>
  <si>
    <t>10240x4320</t>
  </si>
  <si>
    <t>10K</t>
  </si>
  <si>
    <t>10240x5760</t>
  </si>
  <si>
    <t>FHD</t>
  </si>
  <si>
    <t>1920 x 1080</t>
  </si>
  <si>
    <t>2560 x 1440</t>
  </si>
  <si>
    <t>3840 x 2160</t>
  </si>
  <si>
    <t>WFHD</t>
  </si>
  <si>
    <t>2560 x 1920</t>
  </si>
  <si>
    <t>WQHD</t>
  </si>
  <si>
    <t>3440 x 1440</t>
  </si>
  <si>
    <t>WUHD</t>
  </si>
  <si>
    <t>5120 x 2160</t>
  </si>
  <si>
    <t>DFHD</t>
  </si>
  <si>
    <t>3840 x 1080</t>
  </si>
  <si>
    <t>DQHD</t>
  </si>
  <si>
    <t>5120 x 1440</t>
  </si>
  <si>
    <t>DUHD</t>
  </si>
  <si>
    <t>7680 x 2160</t>
  </si>
  <si>
    <t>7680 x 4320</t>
  </si>
  <si>
    <t>Interface</t>
  </si>
  <si>
    <t>UHD</t>
  </si>
  <si>
    <t>UHD-2</t>
  </si>
  <si>
    <t>Name</t>
  </si>
  <si>
    <t>Note</t>
  </si>
  <si>
    <t>maybe</t>
  </si>
  <si>
    <t>UW6K</t>
  </si>
  <si>
    <t>Ratio</t>
  </si>
  <si>
    <t>Dimen</t>
  </si>
  <si>
    <t>RealRes</t>
  </si>
  <si>
    <t>16:9</t>
  </si>
  <si>
    <t>5K 5120x2880</t>
  </si>
  <si>
    <t>93x52</t>
  </si>
  <si>
    <t>3413x1920</t>
  </si>
  <si>
    <t>42"</t>
  </si>
  <si>
    <t>Comparison</t>
  </si>
  <si>
    <t>Based on:</t>
  </si>
  <si>
    <t>32" 16:9 QHD 2560x1440 100% 93PPI 39cm Height</t>
  </si>
  <si>
    <t>Gain</t>
  </si>
  <si>
    <t>40"</t>
  </si>
  <si>
    <t>21:9</t>
  </si>
  <si>
    <t>UW4K 5120x2160</t>
  </si>
  <si>
    <t>3413x1440</t>
  </si>
  <si>
    <t>93x39</t>
  </si>
  <si>
    <t>48"</t>
  </si>
  <si>
    <t>8K 7680x4320</t>
  </si>
  <si>
    <t>50"</t>
  </si>
  <si>
    <t>UW5K 6880x2880</t>
  </si>
  <si>
    <t>117x50</t>
  </si>
  <si>
    <t>4300x1800</t>
  </si>
  <si>
    <t>38"</t>
  </si>
  <si>
    <t>4K 3840x2160</t>
  </si>
  <si>
    <t>84x47</t>
  </si>
  <si>
    <t>3072x1728</t>
  </si>
  <si>
    <t>45"</t>
  </si>
  <si>
    <t>UW6K 8192x3456</t>
  </si>
  <si>
    <t>105x44</t>
  </si>
  <si>
    <t>4096x1728</t>
  </si>
  <si>
    <t>Wide</t>
  </si>
  <si>
    <t>UltraWide</t>
  </si>
  <si>
    <t>DoubleWide</t>
  </si>
  <si>
    <t>32:9</t>
  </si>
  <si>
    <r>
      <t>106x</t>
    </r>
    <r>
      <rPr>
        <sz val="12"/>
        <color rgb="FFC00000"/>
        <rFont val="Aptos Narrow"/>
        <family val="2"/>
        <scheme val="minor"/>
      </rPr>
      <t>60</t>
    </r>
  </si>
  <si>
    <t>This depends of a person's eyesight and the distance he sits away from the screen (usually close at 60-65cm or relaxed at 85-95cm)</t>
  </si>
  <si>
    <t>Having a scaling factor of 125% might not make much sense. Because you gain too little in clarity compared to 100% but you have to bear all the hassle from scaling on Windows</t>
  </si>
  <si>
    <t>53"</t>
  </si>
  <si>
    <t>4587x1920</t>
  </si>
  <si>
    <t>1200R curve</t>
  </si>
  <si>
    <r>
      <rPr>
        <sz val="12"/>
        <color rgb="FFC14E15"/>
        <rFont val="Aptos Narrow"/>
        <family val="2"/>
        <scheme val="minor"/>
      </rPr>
      <t>119</t>
    </r>
    <r>
      <rPr>
        <sz val="12"/>
        <color theme="1"/>
        <rFont val="Aptos Narrow"/>
        <family val="2"/>
        <scheme val="minor"/>
      </rPr>
      <t>x52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</si>
</sst>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0.000"/>
    <numFmt numFmtId="166" formatCode="0.0"/>
  </numFmts>
  <fonts count="9" x14ac:knownFonts="1">
    <font>
      <sz val="12"/>
      <color theme="1"/>
      <name val="Aptos Narrow"/>
      <family val="2"/>
      <scheme val="minor"/>
    </font>
    <font>
      <b/>
      <sz val="12"/>
      <color theme="0"/>
      <name val="Aptos Narrow"/>
      <family val="2"/>
      <scheme val="minor"/>
    </font>
    <font>
      <b/>
      <sz val="12"/>
      <color theme="1"/>
      <name val="Aptos Narrow"/>
      <family val="2"/>
      <scheme val="minor"/>
    </font>
    <font>
      <u/>
      <sz val="12"/>
      <color theme="10"/>
      <name val="Aptos Narrow"/>
      <family val="2"/>
      <scheme val="minor"/>
    </font>
    <font>
      <i/>
      <sz val="12"/>
      <color theme="1"/>
      <name val="Aptos Narrow"/>
      <family val="2"/>
      <scheme val="minor"/>
    </font>
    <font>
      <b/>
      <sz val="9"/>
      <color indexed="81"/>
      <name val="Tahoma"/>
      <family val="2"/>
    </font>
    <font>
      <sz val="9"/>
      <color indexed="81"/>
      <name val="Tahoma"/>
      <family val="2"/>
    </font>
    <font>
      <sz val="12"/>
      <color rgb="FFC00000"/>
      <name val="Aptos Narrow"/>
      <family val="2"/>
      <scheme val="minor"/>
    </font>
    <font>
      <sz val="12"/>
      <color rgb="FFC14E15"/>
      <name val="Aptos Narrow"/>
      <family val="2"/>
      <scheme val="minor"/>
    </font>
  </fonts>
  <fills count="7">
    <fill>
      <patternFill patternType="none"/>
    </fill>
    <fill>
      <patternFill patternType="gray125"/>
    </fill>
    <fill>
      <patternFill patternType="solid">
        <fgColor theme="9" tint="-0.24994659260841701"/>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C6E0B4"/>
        <bgColor indexed="64"/>
      </patternFill>
    </fill>
    <fill>
      <patternFill patternType="solid">
        <fgColor theme="9" tint="-0.249977111117893"/>
        <bgColor indexed="64"/>
      </patternFill>
    </fill>
  </fills>
  <borders count="18">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medium">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n">
        <color auto="1"/>
      </right>
      <top/>
      <bottom style="medium">
        <color auto="1"/>
      </bottom>
      <diagonal/>
    </border>
    <border>
      <left style="thin">
        <color auto="1"/>
      </left>
      <right style="thick">
        <color auto="1"/>
      </right>
      <top/>
      <bottom style="medium">
        <color auto="1"/>
      </bottom>
      <diagonal/>
    </border>
    <border>
      <left style="thick">
        <color auto="1"/>
      </left>
      <right style="thin">
        <color auto="1"/>
      </right>
      <top/>
      <bottom/>
      <diagonal/>
    </border>
    <border>
      <left style="thin">
        <color auto="1"/>
      </left>
      <right style="thick">
        <color auto="1"/>
      </right>
      <top/>
      <bottom/>
      <diagonal/>
    </border>
    <border>
      <left style="thick">
        <color auto="1"/>
      </left>
      <right style="thin">
        <color auto="1"/>
      </right>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2">
    <xf numFmtId="0" fontId="0" fillId="0" borderId="0"/>
    <xf numFmtId="0" fontId="3" fillId="0" borderId="0" applyNumberFormat="0" applyFill="0" applyBorder="0" applyAlignment="0" applyProtection="0"/>
  </cellStyleXfs>
  <cellXfs count="62">
    <xf numFmtId="0" fontId="0" fillId="0" borderId="0" xfId="0"/>
    <xf numFmtId="0" fontId="0" fillId="0" borderId="0" xfId="0" applyAlignment="1">
      <alignment horizontal="center"/>
    </xf>
    <xf numFmtId="0" fontId="0" fillId="0" borderId="2" xfId="0" applyBorder="1"/>
    <xf numFmtId="0" fontId="0" fillId="0" borderId="13" xfId="0" applyBorder="1"/>
    <xf numFmtId="0" fontId="0" fillId="0" borderId="2" xfId="0" applyBorder="1" applyAlignment="1">
      <alignment horizontal="center"/>
    </xf>
    <xf numFmtId="0" fontId="0" fillId="3" borderId="2" xfId="0" applyFill="1" applyBorder="1" applyAlignment="1">
      <alignment horizontal="center"/>
    </xf>
    <xf numFmtId="0" fontId="0" fillId="0" borderId="5" xfId="0" applyBorder="1" applyAlignment="1">
      <alignment horizontal="center"/>
    </xf>
    <xf numFmtId="0" fontId="2" fillId="0" borderId="0" xfId="0" applyFont="1"/>
    <xf numFmtId="0" fontId="0" fillId="0" borderId="12" xfId="0" quotePrefix="1" applyBorder="1" applyAlignment="1">
      <alignment horizontal="left" indent="1"/>
    </xf>
    <xf numFmtId="0" fontId="0" fillId="3" borderId="12" xfId="0" applyFill="1" applyBorder="1" applyAlignment="1">
      <alignment horizontal="left" indent="1"/>
    </xf>
    <xf numFmtId="0" fontId="0" fillId="0" borderId="12" xfId="0" applyBorder="1" applyAlignment="1">
      <alignment horizontal="left" indent="1"/>
    </xf>
    <xf numFmtId="0" fontId="0" fillId="0" borderId="14" xfId="0" applyBorder="1" applyAlignment="1">
      <alignment horizontal="left" indent="1"/>
    </xf>
    <xf numFmtId="164" fontId="0" fillId="3" borderId="3" xfId="0" applyNumberFormat="1" applyFill="1" applyBorder="1"/>
    <xf numFmtId="164" fontId="0" fillId="0" borderId="13" xfId="0" quotePrefix="1" applyNumberFormat="1" applyBorder="1" applyAlignment="1">
      <alignment horizontal="right"/>
    </xf>
    <xf numFmtId="164" fontId="0" fillId="3" borderId="13" xfId="0" quotePrefix="1" applyNumberFormat="1" applyFill="1" applyBorder="1" applyAlignment="1">
      <alignment horizontal="right"/>
    </xf>
    <xf numFmtId="164" fontId="0" fillId="0" borderId="6" xfId="0" quotePrefix="1" applyNumberFormat="1" applyBorder="1" applyAlignment="1">
      <alignment horizontal="right"/>
    </xf>
    <xf numFmtId="164" fontId="0" fillId="0" borderId="3" xfId="0" applyNumberFormat="1" applyBorder="1"/>
    <xf numFmtId="0" fontId="0" fillId="4" borderId="2" xfId="0" applyFill="1" applyBorder="1" applyAlignment="1">
      <alignment horizontal="center"/>
    </xf>
    <xf numFmtId="164" fontId="0" fillId="4" borderId="3" xfId="0" applyNumberFormat="1" applyFill="1" applyBorder="1"/>
    <xf numFmtId="0" fontId="0" fillId="0" borderId="1" xfId="0" quotePrefix="1" applyBorder="1" applyAlignment="1">
      <alignment horizontal="left" indent="1"/>
    </xf>
    <xf numFmtId="0" fontId="0" fillId="4" borderId="1" xfId="0" quotePrefix="1" applyFill="1" applyBorder="1" applyAlignment="1">
      <alignment horizontal="left" indent="1"/>
    </xf>
    <xf numFmtId="0" fontId="0" fillId="0" borderId="1" xfId="0" applyBorder="1" applyAlignment="1">
      <alignment horizontal="left" indent="1"/>
    </xf>
    <xf numFmtId="0" fontId="0" fillId="4" borderId="1" xfId="0" applyFill="1" applyBorder="1" applyAlignment="1">
      <alignment horizontal="left" indent="1"/>
    </xf>
    <xf numFmtId="0" fontId="0" fillId="3" borderId="1" xfId="0" applyFill="1" applyBorder="1" applyAlignment="1">
      <alignment horizontal="left" indent="1"/>
    </xf>
    <xf numFmtId="0" fontId="0" fillId="0" borderId="0" xfId="0" applyAlignment="1">
      <alignment horizontal="right"/>
    </xf>
    <xf numFmtId="0" fontId="0" fillId="0" borderId="0" xfId="0" quotePrefix="1"/>
    <xf numFmtId="0" fontId="4" fillId="0" borderId="0" xfId="0" applyFont="1"/>
    <xf numFmtId="0" fontId="3" fillId="0" borderId="0" xfId="1"/>
    <xf numFmtId="0" fontId="2" fillId="5" borderId="0" xfId="0" applyFont="1" applyFill="1"/>
    <xf numFmtId="0" fontId="0" fillId="5" borderId="0" xfId="0" applyFill="1"/>
    <xf numFmtId="0" fontId="0" fillId="4" borderId="0" xfId="0" applyFill="1"/>
    <xf numFmtId="166" fontId="0" fillId="4" borderId="0" xfId="0" applyNumberFormat="1" applyFill="1"/>
    <xf numFmtId="0" fontId="2" fillId="4" borderId="0" xfId="0" applyFont="1" applyFill="1"/>
    <xf numFmtId="165" fontId="0" fillId="4" borderId="0" xfId="0" applyNumberFormat="1" applyFill="1"/>
    <xf numFmtId="2" fontId="0" fillId="4" borderId="0" xfId="0" applyNumberFormat="1" applyFill="1"/>
    <xf numFmtId="0" fontId="1" fillId="6" borderId="16" xfId="0" applyFont="1" applyFill="1" applyBorder="1" applyAlignment="1">
      <alignment horizontal="center"/>
    </xf>
    <xf numFmtId="0" fontId="1" fillId="6" borderId="17" xfId="0" applyFont="1" applyFill="1" applyBorder="1" applyAlignment="1">
      <alignment horizontal="center"/>
    </xf>
    <xf numFmtId="0" fontId="0" fillId="4" borderId="2" xfId="0" applyFill="1" applyBorder="1"/>
    <xf numFmtId="0" fontId="0" fillId="4" borderId="13" xfId="0" applyFill="1" applyBorder="1"/>
    <xf numFmtId="0" fontId="0" fillId="4" borderId="5" xfId="0" applyFill="1" applyBorder="1"/>
    <xf numFmtId="0" fontId="0" fillId="4" borderId="6" xfId="0" applyFill="1" applyBorder="1"/>
    <xf numFmtId="0" fontId="0" fillId="4" borderId="5" xfId="0" applyFill="1" applyBorder="1" applyAlignment="1">
      <alignment horizontal="center"/>
    </xf>
    <xf numFmtId="0" fontId="1" fillId="6" borderId="15" xfId="0" applyFont="1" applyFill="1" applyBorder="1" applyAlignment="1">
      <alignment horizontal="left" indent="1"/>
    </xf>
    <xf numFmtId="0" fontId="0" fillId="4" borderId="12" xfId="0" applyFill="1" applyBorder="1" applyAlignment="1">
      <alignment horizontal="left" indent="1"/>
    </xf>
    <xf numFmtId="0" fontId="0" fillId="4" borderId="14" xfId="0" applyFill="1" applyBorder="1" applyAlignment="1">
      <alignment horizontal="left" indent="1"/>
    </xf>
    <xf numFmtId="9" fontId="0" fillId="0" borderId="0" xfId="0" applyNumberFormat="1"/>
    <xf numFmtId="2" fontId="0" fillId="0" borderId="0" xfId="0" applyNumberFormat="1"/>
    <xf numFmtId="0" fontId="0" fillId="0" borderId="0" xfId="0" quotePrefix="1" applyAlignment="1">
      <alignment horizontal="right"/>
    </xf>
    <xf numFmtId="9" fontId="2" fillId="0" borderId="0" xfId="0" applyNumberFormat="1" applyFont="1" applyAlignment="1">
      <alignment horizontal="left"/>
    </xf>
    <xf numFmtId="9" fontId="0" fillId="0" borderId="0" xfId="0" applyNumberFormat="1" applyAlignment="1">
      <alignment horizontal="center"/>
    </xf>
    <xf numFmtId="0" fontId="2" fillId="0" borderId="0" xfId="0" applyFont="1" applyAlignment="1">
      <alignment horizontal="center"/>
    </xf>
    <xf numFmtId="0" fontId="2" fillId="0" borderId="0" xfId="0" quotePrefix="1" applyFont="1" applyAlignment="1">
      <alignment horizontal="center"/>
    </xf>
    <xf numFmtId="9" fontId="7" fillId="0" borderId="0" xfId="0" applyNumberFormat="1" applyFont="1" applyAlignment="1">
      <alignment horizontal="center"/>
    </xf>
    <xf numFmtId="0" fontId="0" fillId="0" borderId="0" xfId="0" applyAlignment="1">
      <alignment horizontal="center"/>
    </xf>
    <xf numFmtId="0" fontId="1" fillId="2" borderId="7" xfId="0" applyFont="1" applyFill="1" applyBorder="1" applyAlignment="1">
      <alignment horizontal="left" indent="1"/>
    </xf>
    <xf numFmtId="0" fontId="1" fillId="2" borderId="10" xfId="0" applyFont="1" applyFill="1" applyBorder="1" applyAlignment="1">
      <alignment horizontal="left" indent="1"/>
    </xf>
    <xf numFmtId="0" fontId="1" fillId="2" borderId="8" xfId="0" applyFont="1" applyFill="1" applyBorder="1" applyAlignment="1">
      <alignment horizontal="center" wrapText="1"/>
    </xf>
    <xf numFmtId="0" fontId="1" fillId="2" borderId="4" xfId="0" applyFont="1" applyFill="1" applyBorder="1" applyAlignment="1">
      <alignment horizontal="center" wrapText="1"/>
    </xf>
    <xf numFmtId="0" fontId="1" fillId="2" borderId="8" xfId="0" applyFont="1" applyFill="1" applyBorder="1" applyAlignment="1">
      <alignment horizontal="center"/>
    </xf>
    <xf numFmtId="0" fontId="1" fillId="2" borderId="4" xfId="0" applyFont="1" applyFill="1" applyBorder="1" applyAlignment="1">
      <alignment horizontal="center"/>
    </xf>
    <xf numFmtId="0" fontId="1" fillId="2" borderId="9" xfId="0" applyFont="1" applyFill="1" applyBorder="1" applyAlignment="1">
      <alignment horizontal="center" wrapText="1"/>
    </xf>
    <xf numFmtId="0" fontId="1" fillId="2" borderId="11" xfId="0" applyFont="1" applyFill="1" applyBorder="1" applyAlignment="1">
      <alignment horizontal="center" wrapText="1"/>
    </xf>
  </cellXfs>
  <cellStyles count="2">
    <cellStyle name="Hyperlink" xfId="1" builtinId="8"/>
    <cellStyle name="Normal" xfId="0" builtinId="0"/>
  </cellStyles>
  <dxfs count="18">
    <dxf>
      <font>
        <b/>
        <i val="0"/>
        <strike val="0"/>
        <color theme="9" tint="-0.24994659260841701"/>
      </font>
    </dxf>
    <dxf>
      <font>
        <b/>
        <i val="0"/>
        <color rgb="FFBB1544"/>
      </font>
    </dxf>
    <dxf>
      <fill>
        <patternFill patternType="solid">
          <fgColor indexed="64"/>
          <bgColor theme="0" tint="-0.14996795556505021"/>
        </patternFill>
      </fill>
      <border diagonalUp="0" diagonalDown="0">
        <left style="thin">
          <color auto="1"/>
        </left>
        <right/>
        <top/>
        <bottom/>
        <vertical style="thin">
          <color auto="1"/>
        </vertical>
        <horizontal/>
      </border>
    </dxf>
    <dxf>
      <alignment horizontal="center" vertical="bottom" textRotation="0" wrapText="1" indent="0" justifyLastLine="0" shrinkToFit="0" readingOrder="0"/>
    </dxf>
    <dxf>
      <fill>
        <patternFill patternType="solid">
          <fgColor indexed="64"/>
          <bgColor theme="0" tint="-0.14996795556505021"/>
        </patternFill>
      </fill>
      <border diagonalUp="0" diagonalDown="0">
        <left style="thin">
          <color auto="1"/>
        </left>
        <right style="thin">
          <color auto="1"/>
        </right>
        <top/>
        <bottom/>
        <vertical style="thin">
          <color auto="1"/>
        </vertical>
        <horizontal/>
      </border>
    </dxf>
    <dxf>
      <alignment horizontal="center" vertical="bottom" textRotation="0" wrapText="0" indent="0" justifyLastLine="0" shrinkToFit="0" readingOrder="0"/>
    </dxf>
    <dxf>
      <fill>
        <patternFill patternType="solid">
          <fgColor indexed="64"/>
          <bgColor theme="0" tint="-0.14996795556505021"/>
        </patternFill>
      </fill>
      <border diagonalUp="0" diagonalDown="0">
        <left style="thin">
          <color auto="1"/>
        </left>
        <right style="thin">
          <color auto="1"/>
        </right>
        <top/>
        <bottom/>
        <vertical style="thin">
          <color auto="1"/>
        </vertical>
        <horizontal/>
      </border>
    </dxf>
    <dxf>
      <alignment horizontal="center" vertical="bottom" textRotation="0" wrapText="1" indent="0" justifyLastLine="0" shrinkToFit="0" readingOrder="0"/>
    </dxf>
    <dxf>
      <fill>
        <patternFill patternType="solid">
          <fgColor indexed="64"/>
          <bgColor theme="0" tint="-0.14996795556505021"/>
        </patternFill>
      </fill>
      <border diagonalUp="0" diagonalDown="0">
        <left style="thin">
          <color auto="1"/>
        </left>
        <right style="thin">
          <color auto="1"/>
        </right>
        <top/>
        <bottom/>
        <vertical style="thin">
          <color auto="1"/>
        </vertical>
        <horizontal/>
      </border>
    </dxf>
    <dxf>
      <alignment horizontal="center" vertical="bottom" textRotation="0" wrapText="0" indent="0" justifyLastLine="0" shrinkToFit="0" readingOrder="0"/>
    </dxf>
    <dxf>
      <fill>
        <patternFill patternType="solid">
          <fgColor indexed="64"/>
          <bgColor theme="0" tint="-0.14996795556505021"/>
        </patternFill>
      </fill>
      <border diagonalUp="0" diagonalDown="0">
        <left style="thin">
          <color auto="1"/>
        </left>
        <right style="thin">
          <color auto="1"/>
        </right>
        <top/>
        <bottom/>
        <vertical style="thin">
          <color auto="1"/>
        </vertical>
        <horizontal/>
      </border>
    </dxf>
    <dxf>
      <alignment horizontal="center" vertical="bottom" textRotation="0" wrapText="1" indent="0" justifyLastLine="0" shrinkToFit="0" readingOrder="0"/>
    </dxf>
    <dxf>
      <fill>
        <patternFill patternType="solid">
          <fgColor indexed="64"/>
          <bgColor theme="0" tint="-0.14996795556505021"/>
        </patternFill>
      </fill>
      <alignment horizontal="left" vertical="bottom" textRotation="0" wrapText="0" indent="1" justifyLastLine="0" shrinkToFit="0" readingOrder="0"/>
      <border diagonalUp="0" diagonalDown="0">
        <left/>
        <right style="thin">
          <color auto="1"/>
        </right>
        <top/>
        <bottom/>
        <vertical style="thin">
          <color auto="1"/>
        </vertical>
        <horizontal/>
      </border>
    </dxf>
    <dxf>
      <alignment horizontal="center" vertical="bottom" textRotation="0" wrapText="0" indent="0" justifyLastLine="0" shrinkToFit="0" readingOrder="0"/>
    </dxf>
    <dxf>
      <border diagonalUp="0" diagonalDown="0">
        <left style="thin">
          <color auto="1"/>
        </left>
        <right style="thin">
          <color auto="1"/>
        </right>
        <top/>
        <bottom/>
        <vertical style="thin">
          <color auto="1"/>
        </vertical>
        <horizontal/>
      </border>
    </dxf>
    <dxf>
      <border diagonalUp="0" diagonalDown="0">
        <left style="thick">
          <color auto="1"/>
        </left>
        <right style="thick">
          <color auto="1"/>
        </right>
        <top style="thick">
          <color auto="1"/>
        </top>
        <bottom style="thick">
          <color auto="1"/>
        </bottom>
      </border>
    </dxf>
    <dxf>
      <fill>
        <patternFill patternType="solid">
          <fgColor indexed="64"/>
          <bgColor theme="0" tint="-0.14996795556505021"/>
        </patternFill>
      </fill>
    </dxf>
    <dxf>
      <alignment horizontal="center" vertical="bottom" textRotation="0" wrapText="1" indent="0" justifyLastLine="0" shrinkToFit="0" readingOrder="0"/>
      <border diagonalUp="0" diagonalDown="0">
        <left style="thin">
          <color auto="1"/>
        </left>
        <right style="thin">
          <color auto="1"/>
        </right>
        <top/>
        <bottom/>
        <vertical style="thin">
          <color auto="1"/>
        </vertical>
        <horizontal/>
      </border>
    </dxf>
  </dxfs>
  <tableStyles count="0" defaultTableStyle="TableStyleMedium2" defaultPivotStyle="PivotStyleLight16"/>
  <colors>
    <mruColors>
      <color rgb="FFC14E15"/>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EE25AA-7C8E-44B2-A2FB-384834D7EA46}" name="Table8" displayName="Table8" ref="I7:N17" headerRowCount="0" headerRowDxfId="17" dataDxfId="16" totalsRowDxfId="14" tableBorderDxfId="15">
  <tableColumns count="6">
    <tableColumn id="1" xr3:uid="{B20269A8-53FE-492D-AC26-7B9872C260D7}" name="Column1" totalsRowLabel="Total" headerRowDxfId="13" dataDxfId="12"/>
    <tableColumn id="2" xr3:uid="{2428FA67-2400-4645-BE6C-787ACBB04828}" name="Column2" headerRowDxfId="11" dataDxfId="10"/>
    <tableColumn id="3" xr3:uid="{BF760EE4-040E-4462-9443-BEE93E265197}" name="Column3" headerRowDxfId="9" dataDxfId="8"/>
    <tableColumn id="4" xr3:uid="{5B618160-B82E-4C39-8C4A-C620E260B1D8}" name="Column4" headerRowDxfId="7" dataDxfId="6"/>
    <tableColumn id="5" xr3:uid="{B85924EC-1DC5-4F76-BAAF-EBECEAEDAA2E}" name="Column5" headerRowDxfId="5" dataDxfId="4"/>
    <tableColumn id="6" xr3:uid="{414A721C-A50C-491B-9E93-0EF0A2B2A660}" name="Column6" totalsRowFunction="count" headerRowDxfId="3"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tftcentral.co.uk/articles/hdmi-2-2-explained-bandwidth-specs-and-all-the-parts-they-dont-tell-you" TargetMode="External"/><Relationship Id="rId1" Type="http://schemas.openxmlformats.org/officeDocument/2006/relationships/hyperlink" Target="https://linustechtips.com/topic/729232-guide-to-display-cables-adapters-v2/?section=calc&amp;H=3440&amp;V=1440&amp;F=120&amp;calculations=show&amp;formulas=show"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693C-BA28-429C-B2AA-760B11294A26}">
  <dimension ref="A2:H19"/>
  <sheetViews>
    <sheetView tabSelected="1" zoomScale="130" zoomScaleNormal="130" workbookViewId="0"/>
  </sheetViews>
  <sheetFormatPr defaultRowHeight="15.75" x14ac:dyDescent="0.25"/>
  <sheetData>
    <row r="2" spans="1:8" x14ac:dyDescent="0.25">
      <c r="A2" s="28" t="s">
        <v>61</v>
      </c>
      <c r="B2" s="29"/>
      <c r="D2" s="32" t="s">
        <v>62</v>
      </c>
      <c r="E2" s="30"/>
      <c r="G2" s="29"/>
      <c r="H2" s="25" t="s">
        <v>90</v>
      </c>
    </row>
    <row r="3" spans="1:8" x14ac:dyDescent="0.25">
      <c r="A3" s="29" t="s">
        <v>63</v>
      </c>
      <c r="B3" s="29">
        <v>40</v>
      </c>
      <c r="D3" s="30" t="s">
        <v>64</v>
      </c>
      <c r="E3" s="30">
        <f>ROUND((B4/B6)*100,0)</f>
        <v>3840</v>
      </c>
      <c r="G3" s="30"/>
      <c r="H3" s="25" t="s">
        <v>91</v>
      </c>
    </row>
    <row r="4" spans="1:8" x14ac:dyDescent="0.25">
      <c r="A4" s="29" t="s">
        <v>65</v>
      </c>
      <c r="B4" s="29">
        <v>7680</v>
      </c>
      <c r="D4" s="30" t="s">
        <v>66</v>
      </c>
      <c r="E4" s="30">
        <f>ROUND((B5/B6)*100,0)</f>
        <v>2160</v>
      </c>
    </row>
    <row r="5" spans="1:8" x14ac:dyDescent="0.25">
      <c r="A5" s="29" t="s">
        <v>67</v>
      </c>
      <c r="B5" s="29">
        <v>4320</v>
      </c>
      <c r="D5" s="30" t="s">
        <v>68</v>
      </c>
      <c r="E5" s="30">
        <f>ROUND((E3*E4)/1000000,1)</f>
        <v>8.3000000000000007</v>
      </c>
    </row>
    <row r="6" spans="1:8" x14ac:dyDescent="0.25">
      <c r="A6" s="29" t="s">
        <v>69</v>
      </c>
      <c r="B6" s="29">
        <v>200</v>
      </c>
      <c r="D6" s="30" t="s">
        <v>14</v>
      </c>
      <c r="E6" s="30">
        <f>ROUND(SQRT(((B4/(B6/100))*(B4/(B6/100)))+((B5/(B6/100))*(B5/(B6/100))))/B3,1)</f>
        <v>110.1</v>
      </c>
    </row>
    <row r="7" spans="1:8" x14ac:dyDescent="0.25">
      <c r="A7" s="29" t="s">
        <v>70</v>
      </c>
      <c r="B7" s="29">
        <v>16</v>
      </c>
      <c r="D7" s="30" t="s">
        <v>71</v>
      </c>
      <c r="E7" s="30">
        <f>_xlfn.LET(_xlpm.a,SQRT((B3*B3)/(B7*B7+B8*B8)),_xlpm.width,_xlpm.a*B7*2.54,IF(B9&gt;100,ROUND(2*(B9/10)*SIN(_xlpm.width/(B9/10)/2),1),ROUND(_xlpm.width,1)))</f>
        <v>88.6</v>
      </c>
    </row>
    <row r="8" spans="1:8" x14ac:dyDescent="0.25">
      <c r="A8" s="29" t="s">
        <v>72</v>
      </c>
      <c r="B8" s="29">
        <v>9</v>
      </c>
      <c r="D8" s="30" t="s">
        <v>73</v>
      </c>
      <c r="E8" s="30">
        <f>ROUND(B8*(SQRT((B3*B3)/(B7*B7+B8*B8)))*2.54,1)</f>
        <v>49.8</v>
      </c>
    </row>
    <row r="9" spans="1:8" x14ac:dyDescent="0.25">
      <c r="A9" s="29" t="s">
        <v>74</v>
      </c>
      <c r="B9" s="29">
        <v>0</v>
      </c>
      <c r="D9" s="30" t="s">
        <v>75</v>
      </c>
      <c r="E9" s="33">
        <f>(E8/B5)*10</f>
        <v>0.11527777777777777</v>
      </c>
    </row>
    <row r="11" spans="1:8" x14ac:dyDescent="0.25">
      <c r="A11" s="29" t="s">
        <v>76</v>
      </c>
      <c r="B11" s="29">
        <v>8</v>
      </c>
    </row>
    <row r="12" spans="1:8" x14ac:dyDescent="0.25">
      <c r="A12" s="29" t="s">
        <v>77</v>
      </c>
      <c r="B12" s="29">
        <v>120</v>
      </c>
      <c r="C12" s="1" t="s">
        <v>78</v>
      </c>
      <c r="D12" s="1" t="s">
        <v>79</v>
      </c>
      <c r="E12" s="1" t="s">
        <v>80</v>
      </c>
    </row>
    <row r="13" spans="1:8" x14ac:dyDescent="0.25">
      <c r="A13" s="30" t="s">
        <v>81</v>
      </c>
      <c r="B13" s="34">
        <f>(_xlfn.LET(_xlpm.vmin,0.00046,ROUNDUP((B5*_xlpm.vmin)/((1/B12)-_xlpm.vmin),0)+B5))*B11*B12*(B4+80)*3/1000000000</f>
        <v>102.2010624</v>
      </c>
      <c r="C13" s="1" t="str">
        <f>IF(B13&lt;85,"Y E S","N O")</f>
        <v>N O</v>
      </c>
      <c r="D13" s="1" t="str">
        <f>IF(B13&lt;77,"Y E S","N O")</f>
        <v>N O</v>
      </c>
      <c r="E13" s="1" t="str">
        <f>IF(B13&lt;106,"Y E S","N O")</f>
        <v>Y E S</v>
      </c>
      <c r="F13" s="26" t="s">
        <v>82</v>
      </c>
    </row>
    <row r="14" spans="1:8" x14ac:dyDescent="0.25">
      <c r="C14" s="27" t="s">
        <v>83</v>
      </c>
      <c r="E14" t="s">
        <v>84</v>
      </c>
    </row>
    <row r="15" spans="1:8" x14ac:dyDescent="0.25">
      <c r="C15" s="27" t="s">
        <v>85</v>
      </c>
    </row>
    <row r="16" spans="1:8" x14ac:dyDescent="0.25">
      <c r="A16" s="29" t="s">
        <v>86</v>
      </c>
      <c r="B16" s="29">
        <v>85</v>
      </c>
      <c r="C16" s="27"/>
    </row>
    <row r="17" spans="1:3" x14ac:dyDescent="0.25">
      <c r="A17" s="30" t="s">
        <v>87</v>
      </c>
      <c r="B17" s="31">
        <f xml:space="preserve"> 1 / ( ((E9/1000)/(B16/100))*(180/PI()) )</f>
        <v>128.6917472554855</v>
      </c>
      <c r="C17" s="27"/>
    </row>
    <row r="18" spans="1:3" x14ac:dyDescent="0.25">
      <c r="A18" s="30" t="s">
        <v>88</v>
      </c>
      <c r="B18" s="31">
        <f>2*ATAN(E8/(2*B16)) * (180/PI())</f>
        <v>32.654961156019873</v>
      </c>
    </row>
    <row r="19" spans="1:3" x14ac:dyDescent="0.25">
      <c r="A19" s="30" t="s">
        <v>89</v>
      </c>
      <c r="B19" s="31">
        <f>2*ATAN(E7/(2*B16)) * (180/PI())</f>
        <v>55.05493116167721</v>
      </c>
    </row>
  </sheetData>
  <conditionalFormatting sqref="C13:E13">
    <cfRule type="cellIs" dxfId="1" priority="1" operator="equal">
      <formula>"N O"</formula>
    </cfRule>
    <cfRule type="cellIs" dxfId="0" priority="2" operator="equal">
      <formula>"Y E S"</formula>
    </cfRule>
  </conditionalFormatting>
  <hyperlinks>
    <hyperlink ref="C14" r:id="rId1" xr:uid="{3BFBAD75-7E5C-453C-AB55-771609BCBD63}"/>
    <hyperlink ref="C15" r:id="rId2" xr:uid="{9E466244-A449-48B0-83D4-4F8FA0CAA0B9}"/>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3970-5FEB-467D-B804-2C858D185722}">
  <dimension ref="A3:B24"/>
  <sheetViews>
    <sheetView zoomScale="130" zoomScaleNormal="130" workbookViewId="0"/>
  </sheetViews>
  <sheetFormatPr defaultRowHeight="15.75" x14ac:dyDescent="0.25"/>
  <cols>
    <col min="1" max="1" width="5.75" customWidth="1"/>
  </cols>
  <sheetData>
    <row r="3" spans="1:2" x14ac:dyDescent="0.25">
      <c r="A3" s="24" t="s">
        <v>21</v>
      </c>
      <c r="B3" s="7" t="s">
        <v>22</v>
      </c>
    </row>
    <row r="4" spans="1:2" x14ac:dyDescent="0.25">
      <c r="A4">
        <v>1</v>
      </c>
      <c r="B4" t="s">
        <v>23</v>
      </c>
    </row>
    <row r="5" spans="1:2" x14ac:dyDescent="0.25">
      <c r="A5">
        <v>2</v>
      </c>
      <c r="B5" t="s">
        <v>24</v>
      </c>
    </row>
    <row r="6" spans="1:2" x14ac:dyDescent="0.25">
      <c r="A6">
        <v>3</v>
      </c>
      <c r="B6" t="s">
        <v>25</v>
      </c>
    </row>
    <row r="7" spans="1:2" x14ac:dyDescent="0.25">
      <c r="A7">
        <v>4</v>
      </c>
      <c r="B7" t="s">
        <v>26</v>
      </c>
    </row>
    <row r="8" spans="1:2" x14ac:dyDescent="0.25">
      <c r="A8">
        <v>5</v>
      </c>
      <c r="B8" t="s">
        <v>27</v>
      </c>
    </row>
    <row r="9" spans="1:2" x14ac:dyDescent="0.25">
      <c r="A9">
        <v>6</v>
      </c>
      <c r="B9" t="s">
        <v>28</v>
      </c>
    </row>
    <row r="10" spans="1:2" x14ac:dyDescent="0.25">
      <c r="A10">
        <v>7</v>
      </c>
      <c r="B10" t="s">
        <v>29</v>
      </c>
    </row>
    <row r="11" spans="1:2" x14ac:dyDescent="0.25">
      <c r="A11">
        <v>8</v>
      </c>
      <c r="B11" t="s">
        <v>30</v>
      </c>
    </row>
    <row r="12" spans="1:2" x14ac:dyDescent="0.25">
      <c r="A12">
        <v>9</v>
      </c>
      <c r="B12" t="s">
        <v>31</v>
      </c>
    </row>
    <row r="13" spans="1:2" x14ac:dyDescent="0.25">
      <c r="A13">
        <v>10</v>
      </c>
      <c r="B13" t="s">
        <v>32</v>
      </c>
    </row>
    <row r="14" spans="1:2" x14ac:dyDescent="0.25">
      <c r="A14">
        <v>11</v>
      </c>
      <c r="B14" t="s">
        <v>33</v>
      </c>
    </row>
    <row r="15" spans="1:2" x14ac:dyDescent="0.25">
      <c r="A15">
        <v>12</v>
      </c>
      <c r="B15" t="s">
        <v>34</v>
      </c>
    </row>
    <row r="16" spans="1:2" x14ac:dyDescent="0.25">
      <c r="A16">
        <v>13</v>
      </c>
      <c r="B16" t="s">
        <v>35</v>
      </c>
    </row>
    <row r="17" spans="1:2" x14ac:dyDescent="0.25">
      <c r="A17">
        <v>14</v>
      </c>
      <c r="B17" t="s">
        <v>162</v>
      </c>
    </row>
    <row r="19" spans="1:2" x14ac:dyDescent="0.25">
      <c r="B19" s="7" t="s">
        <v>36</v>
      </c>
    </row>
    <row r="20" spans="1:2" x14ac:dyDescent="0.25">
      <c r="B20" t="s">
        <v>37</v>
      </c>
    </row>
    <row r="21" spans="1:2" x14ac:dyDescent="0.25">
      <c r="B21" t="s">
        <v>161</v>
      </c>
    </row>
    <row r="22" spans="1:2" x14ac:dyDescent="0.25">
      <c r="B22" t="s">
        <v>38</v>
      </c>
    </row>
    <row r="23" spans="1:2" x14ac:dyDescent="0.25">
      <c r="B23" t="s">
        <v>39</v>
      </c>
    </row>
    <row r="24" spans="1:2" x14ac:dyDescent="0.25">
      <c r="B24"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A848-21BF-4A20-B33A-770802967C6F}">
  <dimension ref="A3:U22"/>
  <sheetViews>
    <sheetView zoomScale="130" zoomScaleNormal="130" workbookViewId="0"/>
  </sheetViews>
  <sheetFormatPr defaultRowHeight="15.75" x14ac:dyDescent="0.25"/>
  <cols>
    <col min="1" max="1" width="7.125" customWidth="1"/>
    <col min="2" max="2" width="8.875" customWidth="1"/>
    <col min="3" max="3" width="5.625" customWidth="1"/>
    <col min="4" max="7" width="5.125" customWidth="1"/>
    <col min="8" max="8" width="4.125" customWidth="1"/>
    <col min="9" max="10" width="8.125" customWidth="1"/>
    <col min="11" max="11" width="8.625" customWidth="1"/>
    <col min="12" max="12" width="11.625" customWidth="1"/>
    <col min="13" max="13" width="7.375" customWidth="1"/>
    <col min="14" max="14" width="8.125" customWidth="1"/>
    <col min="15" max="15" width="4" customWidth="1"/>
    <col min="16" max="17" width="8.125" customWidth="1"/>
    <col min="18" max="18" width="8.625" customWidth="1"/>
    <col min="19" max="19" width="11.625" customWidth="1"/>
    <col min="20" max="20" width="7.5" customWidth="1"/>
    <col min="21" max="21" width="8.125" customWidth="1"/>
  </cols>
  <sheetData>
    <row r="3" spans="1:21" x14ac:dyDescent="0.25">
      <c r="A3" s="7" t="s">
        <v>16</v>
      </c>
      <c r="C3" s="53" t="s">
        <v>60</v>
      </c>
      <c r="D3" s="53"/>
      <c r="E3" s="53"/>
      <c r="F3" s="53"/>
      <c r="G3" s="53"/>
      <c r="I3" s="7" t="s">
        <v>16</v>
      </c>
      <c r="P3" s="7" t="s">
        <v>15</v>
      </c>
    </row>
    <row r="4" spans="1:21" ht="5.25" customHeight="1" thickBot="1" x14ac:dyDescent="0.3"/>
    <row r="5" spans="1:21" ht="16.5" customHeight="1" thickTop="1" thickBot="1" x14ac:dyDescent="0.3">
      <c r="A5" s="42" t="s">
        <v>0</v>
      </c>
      <c r="B5" s="35" t="s">
        <v>20</v>
      </c>
      <c r="C5" s="35" t="s">
        <v>7</v>
      </c>
      <c r="D5" s="35" t="s">
        <v>8</v>
      </c>
      <c r="E5" s="35" t="s">
        <v>11</v>
      </c>
      <c r="F5" s="35" t="s">
        <v>9</v>
      </c>
      <c r="G5" s="36" t="s">
        <v>13</v>
      </c>
      <c r="I5" s="54" t="s">
        <v>0</v>
      </c>
      <c r="J5" s="56" t="s">
        <v>17</v>
      </c>
      <c r="K5" s="58" t="s">
        <v>1</v>
      </c>
      <c r="L5" s="56" t="s">
        <v>18</v>
      </c>
      <c r="M5" s="58" t="s">
        <v>6</v>
      </c>
      <c r="N5" s="60" t="s">
        <v>19</v>
      </c>
      <c r="P5" s="54" t="s">
        <v>0</v>
      </c>
      <c r="Q5" s="56" t="s">
        <v>17</v>
      </c>
      <c r="R5" s="58" t="s">
        <v>1</v>
      </c>
      <c r="S5" s="56" t="s">
        <v>18</v>
      </c>
      <c r="T5" s="58" t="s">
        <v>6</v>
      </c>
      <c r="U5" s="60" t="s">
        <v>19</v>
      </c>
    </row>
    <row r="6" spans="1:21" ht="17.25" thickTop="1" thickBot="1" x14ac:dyDescent="0.3">
      <c r="A6" s="10">
        <v>27</v>
      </c>
      <c r="B6" s="4">
        <v>1440</v>
      </c>
      <c r="C6" s="2">
        <v>100</v>
      </c>
      <c r="D6" s="2">
        <v>150</v>
      </c>
      <c r="E6" s="2">
        <v>200</v>
      </c>
      <c r="F6" s="2"/>
      <c r="G6" s="3"/>
      <c r="I6" s="55"/>
      <c r="J6" s="57"/>
      <c r="K6" s="59"/>
      <c r="L6" s="57"/>
      <c r="M6" s="59"/>
      <c r="N6" s="61"/>
      <c r="P6" s="55"/>
      <c r="Q6" s="57"/>
      <c r="R6" s="59"/>
      <c r="S6" s="57"/>
      <c r="T6" s="59"/>
      <c r="U6" s="61"/>
    </row>
    <row r="7" spans="1:21" ht="16.5" customHeight="1" x14ac:dyDescent="0.25">
      <c r="A7" s="43">
        <v>31.5</v>
      </c>
      <c r="B7" s="17">
        <v>1728</v>
      </c>
      <c r="C7" s="37"/>
      <c r="D7" s="37">
        <v>125</v>
      </c>
      <c r="E7" s="37"/>
      <c r="F7" s="37">
        <v>200</v>
      </c>
      <c r="G7" s="38"/>
      <c r="I7" s="19">
        <v>27</v>
      </c>
      <c r="J7" s="4">
        <v>1440</v>
      </c>
      <c r="K7" s="4">
        <v>100</v>
      </c>
      <c r="L7" s="4" t="s">
        <v>3</v>
      </c>
      <c r="M7" s="4" t="s">
        <v>7</v>
      </c>
      <c r="N7" s="16">
        <v>109</v>
      </c>
      <c r="P7" s="8">
        <v>27</v>
      </c>
      <c r="Q7" s="4">
        <v>1234</v>
      </c>
      <c r="R7" s="4">
        <v>175</v>
      </c>
      <c r="S7" s="4" t="s">
        <v>4</v>
      </c>
      <c r="T7" s="4" t="s">
        <v>8</v>
      </c>
      <c r="U7" s="13">
        <v>93</v>
      </c>
    </row>
    <row r="8" spans="1:21" x14ac:dyDescent="0.25">
      <c r="A8" s="10">
        <v>36</v>
      </c>
      <c r="B8" s="4">
        <v>1920</v>
      </c>
      <c r="C8" s="2"/>
      <c r="D8" s="2"/>
      <c r="E8" s="2">
        <v>150</v>
      </c>
      <c r="F8" s="2"/>
      <c r="G8" s="3"/>
      <c r="I8" s="20">
        <v>27</v>
      </c>
      <c r="J8" s="17">
        <v>1440</v>
      </c>
      <c r="K8" s="17">
        <v>150</v>
      </c>
      <c r="L8" s="17" t="s">
        <v>4</v>
      </c>
      <c r="M8" s="17" t="s">
        <v>8</v>
      </c>
      <c r="N8" s="18">
        <v>109</v>
      </c>
      <c r="P8" s="9">
        <v>31.5</v>
      </c>
      <c r="Q8" s="5">
        <v>1440</v>
      </c>
      <c r="R8" s="5">
        <v>150</v>
      </c>
      <c r="S8" s="5" t="s">
        <v>4</v>
      </c>
      <c r="T8" s="5" t="s">
        <v>8</v>
      </c>
      <c r="U8" s="14">
        <v>93</v>
      </c>
    </row>
    <row r="9" spans="1:21" x14ac:dyDescent="0.25">
      <c r="A9" s="43">
        <v>40</v>
      </c>
      <c r="B9" s="17">
        <v>2160</v>
      </c>
      <c r="C9" s="37"/>
      <c r="D9" s="37"/>
      <c r="E9" s="37"/>
      <c r="F9" s="37">
        <v>160</v>
      </c>
      <c r="G9" s="38">
        <v>200</v>
      </c>
      <c r="I9" s="21">
        <v>27</v>
      </c>
      <c r="J9" s="4">
        <v>1440</v>
      </c>
      <c r="K9" s="4">
        <v>200</v>
      </c>
      <c r="L9" s="4" t="s">
        <v>10</v>
      </c>
      <c r="M9" s="4" t="s">
        <v>11</v>
      </c>
      <c r="N9" s="16">
        <v>109</v>
      </c>
      <c r="P9" s="10">
        <v>31.5</v>
      </c>
      <c r="Q9" s="4">
        <v>1440</v>
      </c>
      <c r="R9" s="4">
        <v>200</v>
      </c>
      <c r="S9" s="4" t="s">
        <v>10</v>
      </c>
      <c r="T9" s="4" t="s">
        <v>11</v>
      </c>
      <c r="U9" s="13">
        <v>93</v>
      </c>
    </row>
    <row r="10" spans="1:21" x14ac:dyDescent="0.25">
      <c r="A10" s="10">
        <v>42.5</v>
      </c>
      <c r="B10" s="4">
        <v>2304</v>
      </c>
      <c r="C10" s="2"/>
      <c r="D10" s="2"/>
      <c r="E10" s="2">
        <v>125</v>
      </c>
      <c r="F10" s="2">
        <v>150</v>
      </c>
      <c r="G10" s="3"/>
      <c r="I10" s="22">
        <v>31.5</v>
      </c>
      <c r="J10" s="17">
        <v>1728</v>
      </c>
      <c r="K10" s="17">
        <v>125</v>
      </c>
      <c r="L10" s="17" t="s">
        <v>4</v>
      </c>
      <c r="M10" s="17" t="s">
        <v>8</v>
      </c>
      <c r="N10" s="18">
        <v>112</v>
      </c>
      <c r="P10" s="9">
        <v>36</v>
      </c>
      <c r="Q10" s="5">
        <v>1646</v>
      </c>
      <c r="R10" s="5">
        <v>175</v>
      </c>
      <c r="S10" s="5" t="s">
        <v>10</v>
      </c>
      <c r="T10" s="5" t="s">
        <v>11</v>
      </c>
      <c r="U10" s="14">
        <v>93</v>
      </c>
    </row>
    <row r="11" spans="1:21" ht="16.5" thickBot="1" x14ac:dyDescent="0.3">
      <c r="A11" s="44">
        <v>48</v>
      </c>
      <c r="B11" s="41">
        <v>2700</v>
      </c>
      <c r="C11" s="39"/>
      <c r="D11" s="39"/>
      <c r="E11" s="39"/>
      <c r="F11" s="39"/>
      <c r="G11" s="40">
        <v>160</v>
      </c>
      <c r="I11" s="21">
        <v>31.5</v>
      </c>
      <c r="J11" s="4">
        <v>1728</v>
      </c>
      <c r="K11" s="4">
        <v>200</v>
      </c>
      <c r="L11" s="4" t="s">
        <v>5</v>
      </c>
      <c r="M11" s="4" t="s">
        <v>9</v>
      </c>
      <c r="N11" s="16">
        <v>112</v>
      </c>
      <c r="P11" s="10">
        <v>36</v>
      </c>
      <c r="Q11" s="4">
        <v>1728</v>
      </c>
      <c r="R11" s="4">
        <v>200</v>
      </c>
      <c r="S11" s="4" t="s">
        <v>5</v>
      </c>
      <c r="T11" s="4" t="s">
        <v>9</v>
      </c>
      <c r="U11" s="13">
        <v>98</v>
      </c>
    </row>
    <row r="12" spans="1:21" ht="16.5" thickTop="1" x14ac:dyDescent="0.25">
      <c r="I12" s="22">
        <v>36</v>
      </c>
      <c r="J12" s="17">
        <v>1920</v>
      </c>
      <c r="K12" s="17">
        <v>150</v>
      </c>
      <c r="L12" s="17" t="s">
        <v>10</v>
      </c>
      <c r="M12" s="17" t="s">
        <v>11</v>
      </c>
      <c r="N12" s="18">
        <v>109</v>
      </c>
      <c r="P12" s="9">
        <v>40</v>
      </c>
      <c r="Q12" s="5">
        <v>1800</v>
      </c>
      <c r="R12" s="5">
        <v>160</v>
      </c>
      <c r="S12" s="5" t="s">
        <v>10</v>
      </c>
      <c r="T12" s="5" t="s">
        <v>11</v>
      </c>
      <c r="U12" s="14">
        <v>92</v>
      </c>
    </row>
    <row r="13" spans="1:21" x14ac:dyDescent="0.25">
      <c r="I13" s="21">
        <v>40</v>
      </c>
      <c r="J13" s="4">
        <v>2160</v>
      </c>
      <c r="K13" s="4">
        <v>160</v>
      </c>
      <c r="L13" s="4" t="s">
        <v>5</v>
      </c>
      <c r="M13" s="4" t="s">
        <v>9</v>
      </c>
      <c r="N13" s="16">
        <v>110</v>
      </c>
      <c r="P13" s="10">
        <v>40</v>
      </c>
      <c r="Q13" s="4">
        <v>1920</v>
      </c>
      <c r="R13" s="4">
        <v>150</v>
      </c>
      <c r="S13" s="4" t="s">
        <v>10</v>
      </c>
      <c r="T13" s="4" t="s">
        <v>11</v>
      </c>
      <c r="U13" s="13">
        <v>98</v>
      </c>
    </row>
    <row r="14" spans="1:21" ht="16.5" thickBot="1" x14ac:dyDescent="0.3">
      <c r="A14" s="7" t="s">
        <v>15</v>
      </c>
      <c r="C14" s="53" t="s">
        <v>60</v>
      </c>
      <c r="D14" s="53"/>
      <c r="E14" s="53"/>
      <c r="F14" s="53"/>
      <c r="G14" s="53"/>
      <c r="I14" s="23">
        <v>40</v>
      </c>
      <c r="J14" s="5">
        <v>2160</v>
      </c>
      <c r="K14" s="5">
        <v>200</v>
      </c>
      <c r="L14" s="5" t="s">
        <v>12</v>
      </c>
      <c r="M14" s="5" t="s">
        <v>13</v>
      </c>
      <c r="N14" s="12">
        <v>110</v>
      </c>
      <c r="P14" s="9">
        <v>40</v>
      </c>
      <c r="Q14" s="5">
        <v>1920</v>
      </c>
      <c r="R14" s="5">
        <v>180</v>
      </c>
      <c r="S14" s="5" t="s">
        <v>5</v>
      </c>
      <c r="T14" s="5" t="s">
        <v>9</v>
      </c>
      <c r="U14" s="14">
        <v>98</v>
      </c>
    </row>
    <row r="15" spans="1:21" ht="17.25" thickTop="1" thickBot="1" x14ac:dyDescent="0.3">
      <c r="A15" s="42" t="s">
        <v>0</v>
      </c>
      <c r="B15" s="35" t="s">
        <v>20</v>
      </c>
      <c r="C15" s="35" t="s">
        <v>7</v>
      </c>
      <c r="D15" s="35" t="s">
        <v>8</v>
      </c>
      <c r="E15" s="35" t="s">
        <v>11</v>
      </c>
      <c r="F15" s="35" t="s">
        <v>9</v>
      </c>
      <c r="G15" s="36" t="s">
        <v>13</v>
      </c>
      <c r="I15" s="21">
        <v>42.5</v>
      </c>
      <c r="J15" s="4">
        <v>2304</v>
      </c>
      <c r="K15" s="4">
        <v>125</v>
      </c>
      <c r="L15" s="4" t="s">
        <v>10</v>
      </c>
      <c r="M15" s="4" t="s">
        <v>11</v>
      </c>
      <c r="N15" s="16">
        <v>110</v>
      </c>
      <c r="P15" s="10">
        <v>42.5</v>
      </c>
      <c r="Q15" s="4">
        <v>1920</v>
      </c>
      <c r="R15" s="4">
        <v>150</v>
      </c>
      <c r="S15" s="4" t="s">
        <v>10</v>
      </c>
      <c r="T15" s="4" t="s">
        <v>11</v>
      </c>
      <c r="U15" s="13">
        <v>92</v>
      </c>
    </row>
    <row r="16" spans="1:21" ht="16.5" thickTop="1" x14ac:dyDescent="0.25">
      <c r="A16" s="10">
        <v>27</v>
      </c>
      <c r="B16" s="4">
        <v>1234</v>
      </c>
      <c r="C16" s="2"/>
      <c r="D16" s="2">
        <v>175</v>
      </c>
      <c r="E16" s="2"/>
      <c r="F16" s="2"/>
      <c r="G16" s="3"/>
      <c r="I16" s="23">
        <v>42.5</v>
      </c>
      <c r="J16" s="5">
        <v>2304</v>
      </c>
      <c r="K16" s="5">
        <v>150</v>
      </c>
      <c r="L16" s="5" t="s">
        <v>5</v>
      </c>
      <c r="M16" s="5" t="s">
        <v>9</v>
      </c>
      <c r="N16" s="12">
        <v>110</v>
      </c>
      <c r="P16" s="9">
        <v>42.5</v>
      </c>
      <c r="Q16" s="5">
        <v>1975</v>
      </c>
      <c r="R16" s="5">
        <v>175</v>
      </c>
      <c r="S16" s="5" t="s">
        <v>5</v>
      </c>
      <c r="T16" s="5" t="s">
        <v>9</v>
      </c>
      <c r="U16" s="14">
        <v>95</v>
      </c>
    </row>
    <row r="17" spans="1:21" ht="16.5" thickBot="1" x14ac:dyDescent="0.3">
      <c r="A17" s="43">
        <v>31.5</v>
      </c>
      <c r="B17" s="17">
        <v>1440</v>
      </c>
      <c r="C17" s="37">
        <v>100</v>
      </c>
      <c r="D17" s="37">
        <v>150</v>
      </c>
      <c r="E17" s="37">
        <v>200</v>
      </c>
      <c r="F17" s="37"/>
      <c r="G17" s="38"/>
      <c r="I17" s="21">
        <v>48</v>
      </c>
      <c r="J17" s="4">
        <v>2700</v>
      </c>
      <c r="K17" s="4">
        <v>160</v>
      </c>
      <c r="L17" s="4" t="s">
        <v>12</v>
      </c>
      <c r="M17" s="4" t="s">
        <v>13</v>
      </c>
      <c r="N17" s="16">
        <v>115</v>
      </c>
      <c r="P17" s="11">
        <v>48</v>
      </c>
      <c r="Q17" s="6">
        <v>2160</v>
      </c>
      <c r="R17" s="6">
        <v>200</v>
      </c>
      <c r="S17" s="6" t="s">
        <v>12</v>
      </c>
      <c r="T17" s="6" t="s">
        <v>13</v>
      </c>
      <c r="U17" s="15">
        <v>92</v>
      </c>
    </row>
    <row r="18" spans="1:21" ht="16.5" thickTop="1" x14ac:dyDescent="0.25">
      <c r="A18" s="10">
        <v>36</v>
      </c>
      <c r="B18" s="4">
        <v>1728</v>
      </c>
      <c r="C18" s="2"/>
      <c r="D18" s="2"/>
      <c r="E18" s="2">
        <v>175</v>
      </c>
      <c r="F18" s="2">
        <v>200</v>
      </c>
      <c r="G18" s="3"/>
    </row>
    <row r="19" spans="1:21" ht="15.75" customHeight="1" x14ac:dyDescent="0.25">
      <c r="A19" s="43">
        <v>40</v>
      </c>
      <c r="B19" s="17">
        <v>1800</v>
      </c>
      <c r="C19" s="37"/>
      <c r="D19" s="37"/>
      <c r="E19" s="37">
        <v>160</v>
      </c>
      <c r="F19" s="37">
        <v>180</v>
      </c>
      <c r="G19" s="38"/>
    </row>
    <row r="20" spans="1:21" x14ac:dyDescent="0.25">
      <c r="A20" s="10">
        <v>42.5</v>
      </c>
      <c r="B20" s="4">
        <v>1920</v>
      </c>
      <c r="C20" s="2"/>
      <c r="D20" s="2"/>
      <c r="E20" s="2">
        <v>160</v>
      </c>
      <c r="F20" s="2">
        <v>175</v>
      </c>
      <c r="G20" s="3"/>
    </row>
    <row r="21" spans="1:21" ht="16.5" thickBot="1" x14ac:dyDescent="0.3">
      <c r="A21" s="44">
        <v>48</v>
      </c>
      <c r="B21" s="41">
        <v>2160</v>
      </c>
      <c r="C21" s="39"/>
      <c r="D21" s="39">
        <v>100</v>
      </c>
      <c r="E21" s="39"/>
      <c r="F21" s="39"/>
      <c r="G21" s="40">
        <v>200</v>
      </c>
    </row>
    <row r="22" spans="1:21" ht="16.5" thickTop="1" x14ac:dyDescent="0.25"/>
  </sheetData>
  <mergeCells count="14">
    <mergeCell ref="R5:R6"/>
    <mergeCell ref="S5:S6"/>
    <mergeCell ref="T5:T6"/>
    <mergeCell ref="U5:U6"/>
    <mergeCell ref="M5:M6"/>
    <mergeCell ref="N5:N6"/>
    <mergeCell ref="C3:G3"/>
    <mergeCell ref="P5:P6"/>
    <mergeCell ref="Q5:Q6"/>
    <mergeCell ref="C14:G14"/>
    <mergeCell ref="I5:I6"/>
    <mergeCell ref="J5:J6"/>
    <mergeCell ref="K5:K6"/>
    <mergeCell ref="L5:L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F9A4-9A2B-4606-AEAF-4C38FA3FB747}">
  <dimension ref="B2:N22"/>
  <sheetViews>
    <sheetView zoomScale="130" zoomScaleNormal="130" workbookViewId="0"/>
  </sheetViews>
  <sheetFormatPr defaultRowHeight="15.75" x14ac:dyDescent="0.25"/>
  <cols>
    <col min="1" max="1" width="2.625" customWidth="1"/>
    <col min="2" max="2" width="5.875" customWidth="1"/>
    <col min="3" max="3" width="9.875" customWidth="1"/>
    <col min="4" max="4" width="11.5" customWidth="1"/>
    <col min="5" max="5" width="4.125" customWidth="1"/>
    <col min="6" max="6" width="9.875" customWidth="1"/>
    <col min="7" max="7" width="12.25" customWidth="1"/>
    <col min="9" max="9" width="5" customWidth="1"/>
    <col min="10" max="10" width="13.5" bestFit="1" customWidth="1"/>
    <col min="11" max="11" width="7.125" customWidth="1"/>
    <col min="12" max="12" width="9" customWidth="1"/>
    <col min="13" max="13" width="9.75" customWidth="1"/>
  </cols>
  <sheetData>
    <row r="2" spans="2:14" x14ac:dyDescent="0.25">
      <c r="B2" s="50" t="s">
        <v>156</v>
      </c>
      <c r="C2" s="50" t="s">
        <v>157</v>
      </c>
      <c r="D2" s="50" t="s">
        <v>158</v>
      </c>
    </row>
    <row r="3" spans="2:14" x14ac:dyDescent="0.25">
      <c r="B3" s="51" t="s">
        <v>128</v>
      </c>
      <c r="C3" s="51" t="s">
        <v>138</v>
      </c>
      <c r="D3" s="51" t="s">
        <v>159</v>
      </c>
      <c r="F3" s="7" t="s">
        <v>121</v>
      </c>
      <c r="G3" s="7" t="s">
        <v>2</v>
      </c>
      <c r="H3" s="7" t="s">
        <v>122</v>
      </c>
      <c r="J3" s="7" t="s">
        <v>118</v>
      </c>
      <c r="K3" s="7" t="s">
        <v>41</v>
      </c>
      <c r="L3" s="7" t="s">
        <v>42</v>
      </c>
      <c r="M3" s="7" t="s">
        <v>43</v>
      </c>
    </row>
    <row r="4" spans="2:14" x14ac:dyDescent="0.25">
      <c r="B4">
        <v>24</v>
      </c>
      <c r="C4">
        <v>30</v>
      </c>
      <c r="D4">
        <v>44</v>
      </c>
      <c r="F4" t="s">
        <v>8</v>
      </c>
      <c r="G4" t="s">
        <v>4</v>
      </c>
      <c r="J4" t="s">
        <v>55</v>
      </c>
      <c r="K4">
        <v>32</v>
      </c>
      <c r="L4" s="46">
        <f>(128/132)*K4</f>
        <v>31.030303030303031</v>
      </c>
      <c r="M4" s="47" t="s">
        <v>56</v>
      </c>
      <c r="N4" t="s">
        <v>59</v>
      </c>
    </row>
    <row r="5" spans="2:14" x14ac:dyDescent="0.25">
      <c r="B5">
        <v>27</v>
      </c>
      <c r="C5">
        <v>34</v>
      </c>
      <c r="D5">
        <v>49</v>
      </c>
      <c r="F5" t="s">
        <v>92</v>
      </c>
      <c r="G5" t="s">
        <v>93</v>
      </c>
      <c r="J5" t="s">
        <v>57</v>
      </c>
      <c r="K5">
        <v>40</v>
      </c>
      <c r="L5" s="46">
        <f>(128/132)*K5</f>
        <v>38.787878787878789</v>
      </c>
      <c r="M5" s="47" t="s">
        <v>45</v>
      </c>
      <c r="N5" t="s">
        <v>59</v>
      </c>
    </row>
    <row r="6" spans="2:14" x14ac:dyDescent="0.25">
      <c r="B6">
        <v>32</v>
      </c>
      <c r="C6">
        <v>40</v>
      </c>
      <c r="D6">
        <v>57</v>
      </c>
      <c r="F6" t="s">
        <v>11</v>
      </c>
      <c r="G6" t="s">
        <v>10</v>
      </c>
      <c r="J6" t="s">
        <v>46</v>
      </c>
      <c r="K6">
        <v>54</v>
      </c>
      <c r="L6" s="46">
        <f>(128/132)*K6</f>
        <v>52.363636363636367</v>
      </c>
      <c r="M6" s="47" t="s">
        <v>45</v>
      </c>
      <c r="N6" t="s">
        <v>59</v>
      </c>
    </row>
    <row r="7" spans="2:14" x14ac:dyDescent="0.25">
      <c r="B7">
        <v>36</v>
      </c>
      <c r="C7">
        <v>45</v>
      </c>
      <c r="F7" t="s">
        <v>94</v>
      </c>
      <c r="G7" t="s">
        <v>95</v>
      </c>
      <c r="H7" s="26" t="s">
        <v>123</v>
      </c>
      <c r="J7" t="s">
        <v>44</v>
      </c>
      <c r="K7">
        <v>80</v>
      </c>
      <c r="L7" s="46">
        <f>(128/132)*K7</f>
        <v>77.575757575757578</v>
      </c>
      <c r="M7" s="47" t="s">
        <v>45</v>
      </c>
      <c r="N7" t="s">
        <v>59</v>
      </c>
    </row>
    <row r="8" spans="2:14" x14ac:dyDescent="0.25">
      <c r="B8">
        <v>38</v>
      </c>
      <c r="C8">
        <v>47</v>
      </c>
      <c r="D8">
        <v>69</v>
      </c>
      <c r="F8" t="s">
        <v>9</v>
      </c>
      <c r="G8" t="s">
        <v>5</v>
      </c>
      <c r="H8" s="26"/>
      <c r="J8" t="s">
        <v>47</v>
      </c>
      <c r="K8">
        <v>48</v>
      </c>
      <c r="L8" s="46">
        <f>(16/18)*K8</f>
        <v>42.666666666666664</v>
      </c>
      <c r="M8" s="47" t="s">
        <v>48</v>
      </c>
    </row>
    <row r="9" spans="2:14" x14ac:dyDescent="0.25">
      <c r="B9">
        <v>40</v>
      </c>
      <c r="C9">
        <v>50</v>
      </c>
      <c r="F9" t="s">
        <v>124</v>
      </c>
      <c r="G9" t="s">
        <v>96</v>
      </c>
      <c r="H9" s="26" t="s">
        <v>123</v>
      </c>
      <c r="J9" t="s">
        <v>49</v>
      </c>
      <c r="K9">
        <v>64</v>
      </c>
      <c r="L9" s="46">
        <f>(16/18)*K9</f>
        <v>56.888888888888886</v>
      </c>
      <c r="M9" s="47" t="s">
        <v>48</v>
      </c>
    </row>
    <row r="10" spans="2:14" x14ac:dyDescent="0.25">
      <c r="B10">
        <v>43</v>
      </c>
      <c r="C10">
        <v>53</v>
      </c>
      <c r="F10" t="s">
        <v>13</v>
      </c>
      <c r="G10" t="s">
        <v>12</v>
      </c>
      <c r="J10" t="s">
        <v>49</v>
      </c>
      <c r="K10">
        <v>80</v>
      </c>
      <c r="L10" s="46">
        <f>(16/18)*K10</f>
        <v>71.111111111111114</v>
      </c>
      <c r="M10" s="47" t="s">
        <v>48</v>
      </c>
    </row>
    <row r="11" spans="2:14" x14ac:dyDescent="0.25">
      <c r="B11">
        <v>48</v>
      </c>
      <c r="C11">
        <v>60</v>
      </c>
      <c r="F11" t="s">
        <v>97</v>
      </c>
      <c r="G11" t="s">
        <v>98</v>
      </c>
      <c r="H11" s="26" t="s">
        <v>123</v>
      </c>
      <c r="J11" t="s">
        <v>49</v>
      </c>
      <c r="K11">
        <v>96</v>
      </c>
      <c r="L11" s="46">
        <f>(16/18)*K11</f>
        <v>85.333333333333329</v>
      </c>
      <c r="M11" s="47" t="s">
        <v>48</v>
      </c>
    </row>
    <row r="12" spans="2:14" x14ac:dyDescent="0.25">
      <c r="F12" t="s">
        <v>99</v>
      </c>
      <c r="G12" t="s">
        <v>100</v>
      </c>
      <c r="H12" s="26" t="s">
        <v>123</v>
      </c>
      <c r="J12" t="s">
        <v>50</v>
      </c>
      <c r="K12">
        <v>40</v>
      </c>
      <c r="L12">
        <v>35</v>
      </c>
      <c r="M12" s="24" t="s">
        <v>52</v>
      </c>
      <c r="N12" s="26" t="s">
        <v>58</v>
      </c>
    </row>
    <row r="13" spans="2:14" x14ac:dyDescent="0.25">
      <c r="F13" t="s">
        <v>101</v>
      </c>
      <c r="G13" t="s">
        <v>102</v>
      </c>
      <c r="J13" t="s">
        <v>51</v>
      </c>
      <c r="K13">
        <v>120</v>
      </c>
      <c r="L13" s="24">
        <v>106</v>
      </c>
      <c r="M13" s="24" t="s">
        <v>52</v>
      </c>
      <c r="N13" s="26" t="s">
        <v>58</v>
      </c>
    </row>
    <row r="14" spans="2:14" x14ac:dyDescent="0.25">
      <c r="F14" t="s">
        <v>7</v>
      </c>
      <c r="G14" t="s">
        <v>103</v>
      </c>
      <c r="J14" t="s">
        <v>53</v>
      </c>
      <c r="K14">
        <v>96</v>
      </c>
      <c r="L14" s="24" t="s">
        <v>52</v>
      </c>
      <c r="M14" s="24" t="s">
        <v>52</v>
      </c>
    </row>
    <row r="15" spans="2:14" x14ac:dyDescent="0.25">
      <c r="F15" t="s">
        <v>119</v>
      </c>
      <c r="G15" t="s">
        <v>104</v>
      </c>
      <c r="J15" t="s">
        <v>54</v>
      </c>
      <c r="K15">
        <v>192</v>
      </c>
      <c r="L15" s="24" t="s">
        <v>52</v>
      </c>
      <c r="M15" s="24" t="s">
        <v>52</v>
      </c>
    </row>
    <row r="16" spans="2:14" x14ac:dyDescent="0.25">
      <c r="F16" t="s">
        <v>105</v>
      </c>
      <c r="G16" t="s">
        <v>106</v>
      </c>
    </row>
    <row r="17" spans="6:7" x14ac:dyDescent="0.25">
      <c r="F17" t="s">
        <v>107</v>
      </c>
      <c r="G17" t="s">
        <v>108</v>
      </c>
    </row>
    <row r="18" spans="6:7" x14ac:dyDescent="0.25">
      <c r="F18" t="s">
        <v>109</v>
      </c>
      <c r="G18" t="s">
        <v>110</v>
      </c>
    </row>
    <row r="19" spans="6:7" x14ac:dyDescent="0.25">
      <c r="F19" t="s">
        <v>111</v>
      </c>
      <c r="G19" t="s">
        <v>112</v>
      </c>
    </row>
    <row r="20" spans="6:7" x14ac:dyDescent="0.25">
      <c r="F20" t="s">
        <v>113</v>
      </c>
      <c r="G20" t="s">
        <v>114</v>
      </c>
    </row>
    <row r="21" spans="6:7" x14ac:dyDescent="0.25">
      <c r="F21" t="s">
        <v>115</v>
      </c>
      <c r="G21" t="s">
        <v>116</v>
      </c>
    </row>
    <row r="22" spans="6:7" x14ac:dyDescent="0.25">
      <c r="F22" t="s">
        <v>120</v>
      </c>
      <c r="G22" t="s">
        <v>117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3277-CBD5-413E-8119-500C2A9D153B}">
  <dimension ref="A3:I14"/>
  <sheetViews>
    <sheetView zoomScale="130" zoomScaleNormal="130" workbookViewId="0"/>
  </sheetViews>
  <sheetFormatPr defaultRowHeight="15.75" x14ac:dyDescent="0.25"/>
  <cols>
    <col min="2" max="2" width="4.125" bestFit="1" customWidth="1"/>
    <col min="3" max="3" width="5.125" bestFit="1" customWidth="1"/>
    <col min="4" max="4" width="15.75" bestFit="1" customWidth="1"/>
    <col min="5" max="5" width="6.25" customWidth="1"/>
    <col min="6" max="6" width="4.5" customWidth="1"/>
    <col min="7" max="7" width="7.625" customWidth="1"/>
    <col min="8" max="8" width="11" customWidth="1"/>
  </cols>
  <sheetData>
    <row r="3" spans="1:9" x14ac:dyDescent="0.25">
      <c r="B3" s="7" t="s">
        <v>133</v>
      </c>
    </row>
    <row r="5" spans="1:9" x14ac:dyDescent="0.25">
      <c r="B5" s="26" t="s">
        <v>134</v>
      </c>
      <c r="D5" s="26" t="s">
        <v>135</v>
      </c>
    </row>
    <row r="7" spans="1:9" x14ac:dyDescent="0.25">
      <c r="A7" t="s">
        <v>136</v>
      </c>
      <c r="B7" t="s">
        <v>0</v>
      </c>
      <c r="C7" t="s">
        <v>125</v>
      </c>
      <c r="D7" t="s">
        <v>2</v>
      </c>
      <c r="E7" t="s">
        <v>1</v>
      </c>
      <c r="F7" t="s">
        <v>14</v>
      </c>
      <c r="G7" s="1" t="s">
        <v>126</v>
      </c>
      <c r="H7" s="1" t="s">
        <v>127</v>
      </c>
    </row>
    <row r="8" spans="1:9" x14ac:dyDescent="0.25">
      <c r="A8" s="48">
        <v>0.33</v>
      </c>
      <c r="B8" t="s">
        <v>137</v>
      </c>
      <c r="C8" s="25" t="s">
        <v>138</v>
      </c>
      <c r="D8" t="s">
        <v>139</v>
      </c>
      <c r="E8" s="49">
        <v>1.5</v>
      </c>
      <c r="F8">
        <v>93</v>
      </c>
      <c r="G8" s="24" t="s">
        <v>141</v>
      </c>
      <c r="H8" s="1" t="s">
        <v>140</v>
      </c>
    </row>
    <row r="9" spans="1:9" x14ac:dyDescent="0.25">
      <c r="A9" s="48">
        <v>0.78</v>
      </c>
      <c r="B9" t="s">
        <v>132</v>
      </c>
      <c r="C9" s="25" t="s">
        <v>128</v>
      </c>
      <c r="D9" t="s">
        <v>129</v>
      </c>
      <c r="E9" s="49">
        <v>1.5</v>
      </c>
      <c r="F9">
        <v>93</v>
      </c>
      <c r="G9" s="24" t="s">
        <v>130</v>
      </c>
      <c r="H9" s="1" t="s">
        <v>131</v>
      </c>
    </row>
    <row r="10" spans="1:9" x14ac:dyDescent="0.25">
      <c r="A10" s="48">
        <v>1.25</v>
      </c>
      <c r="B10" t="s">
        <v>142</v>
      </c>
      <c r="C10" s="25" t="s">
        <v>128</v>
      </c>
      <c r="D10" t="s">
        <v>143</v>
      </c>
      <c r="E10" s="49">
        <v>2</v>
      </c>
      <c r="F10">
        <v>92</v>
      </c>
      <c r="G10" s="24" t="s">
        <v>160</v>
      </c>
      <c r="H10" s="1" t="s">
        <v>4</v>
      </c>
    </row>
    <row r="11" spans="1:9" x14ac:dyDescent="0.25">
      <c r="A11" s="48">
        <v>1.1000000000000001</v>
      </c>
      <c r="B11" t="s">
        <v>144</v>
      </c>
      <c r="C11" s="25" t="s">
        <v>138</v>
      </c>
      <c r="D11" t="s">
        <v>145</v>
      </c>
      <c r="E11" s="49">
        <v>1.6</v>
      </c>
      <c r="F11">
        <v>93</v>
      </c>
      <c r="G11" s="24" t="s">
        <v>146</v>
      </c>
      <c r="H11" s="1" t="s">
        <v>147</v>
      </c>
    </row>
    <row r="12" spans="1:9" x14ac:dyDescent="0.25">
      <c r="A12" s="48">
        <v>0.44</v>
      </c>
      <c r="B12" t="s">
        <v>148</v>
      </c>
      <c r="C12" s="25" t="s">
        <v>128</v>
      </c>
      <c r="D12" t="s">
        <v>149</v>
      </c>
      <c r="E12" s="52">
        <v>1.25</v>
      </c>
      <c r="F12">
        <v>93</v>
      </c>
      <c r="G12" s="24" t="s">
        <v>150</v>
      </c>
      <c r="H12" s="1" t="s">
        <v>151</v>
      </c>
    </row>
    <row r="13" spans="1:9" x14ac:dyDescent="0.25">
      <c r="A13" s="48">
        <v>0.92</v>
      </c>
      <c r="B13" t="s">
        <v>152</v>
      </c>
      <c r="C13" s="25" t="s">
        <v>138</v>
      </c>
      <c r="D13" t="s">
        <v>153</v>
      </c>
      <c r="E13" s="49">
        <v>2</v>
      </c>
      <c r="F13">
        <v>99</v>
      </c>
      <c r="G13" s="24" t="s">
        <v>154</v>
      </c>
      <c r="H13" s="1" t="s">
        <v>155</v>
      </c>
    </row>
    <row r="14" spans="1:9" x14ac:dyDescent="0.25">
      <c r="A14" s="48">
        <v>1.39</v>
      </c>
      <c r="B14" t="s">
        <v>163</v>
      </c>
      <c r="C14" s="25" t="s">
        <v>138</v>
      </c>
      <c r="D14" t="s">
        <v>145</v>
      </c>
      <c r="E14" s="45">
        <v>1.5</v>
      </c>
      <c r="F14">
        <v>94</v>
      </c>
      <c r="G14" s="24" t="s">
        <v>166</v>
      </c>
      <c r="H14" s="1" t="s">
        <v>164</v>
      </c>
      <c r="I14" s="26" t="s">
        <v>165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Calculator</vt:lpstr>
      <vt:lpstr>Observations</vt:lpstr>
      <vt:lpstr>Target PPI</vt:lpstr>
      <vt:lpstr>Static_Data</vt:lpstr>
      <vt:lpst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Panos Grigoriadis</dc:creator>
  <cp:lastModifiedBy>Panos Grigoriadis</cp:lastModifiedBy>
  <dcterms:created xsi:type="dcterms:W3CDTF">2025-11-07T09:16:45Z</dcterms:created>
  <dcterms:modified xsi:type="dcterms:W3CDTF">2025-11-07T13:08:16Z</dcterms:modified>
</cp:coreProperties>
</file>